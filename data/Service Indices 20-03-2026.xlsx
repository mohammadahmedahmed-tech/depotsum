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Z:\4.7_Data &amp; Analysis\SI &amp; TT\Service Indices\Service Indices 2026\"/>
    </mc:Choice>
  </mc:AlternateContent>
  <xr:revisionPtr revIDLastSave="0" documentId="13_ncr:1_{047DFA08-47C9-4466-9CF3-548B1170CB3A}" xr6:coauthVersionLast="47" xr6:coauthVersionMax="47" xr10:uidLastSave="{00000000-0000-0000-0000-000000000000}"/>
  <bookViews>
    <workbookView xWindow="28680" yWindow="-120" windowWidth="29040" windowHeight="15720" tabRatio="830" firstSheet="2" activeTab="2" xr2:uid="{5BFEAA7A-DAD0-4C33-8597-4A964E45C546}"/>
  </bookViews>
  <sheets>
    <sheet name="StartSheet" sheetId="13" state="hidden" r:id="rId1"/>
    <sheet name="RawData" sheetId="1" state="hidden" r:id="rId2"/>
    <sheet name="ServiceIndices" sheetId="2" r:id="rId3"/>
  </sheets>
  <definedNames>
    <definedName name="CHANGES">#REF!</definedName>
    <definedName name="filePath">StartSheet!$C$3</definedName>
    <definedName name="Slicer_Home_Depot">#N/A</definedName>
  </definedNames>
  <calcPr calcId="191029"/>
  <pivotCaches>
    <pivotCache cacheId="5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C4" i="13" l="1"/>
  <c r="C5"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39B5DB-42DE-40FE-BC4A-E78BC1CB4A6A}" odcFile="D:\Profile\Documents\My Data Sources\Query - BusFleetMSD.odc" keepAlive="1" name="Query - BusFleetMSD" description="Connection to the 'BusFleetMSD' query in the workbook." type="5" refreshedVersion="7" background="1" saveData="1">
    <dbPr connection="Provider=Microsoft.Mashup.OleDb.1;Data Source=$Workbook$;Location=BusFleetMSD;Extended Properties=&quot;&quot;" command="SELECT * FROM [BusFleetMSD]"/>
  </connection>
  <connection id="2" xr16:uid="{E388F146-85CD-4169-991E-3A54DAE53D70}" keepAlive="1" name="Query - BusFleetMSD_Operational" description="Connection to the 'BusFleetMSD_Operational' query in the workbook." type="5" refreshedVersion="7" background="1" saveData="1">
    <dbPr connection="Provider=Microsoft.Mashup.OleDb.1;Data Source=$Workbook$;Location=BusFleetMSD_Operational;Extended Properties=&quot;&quot;" command="SELECT * FROM [BusFleetMSD_Operational]"/>
  </connection>
  <connection id="3" xr16:uid="{3DCCBC37-806A-4EBC-A60B-4AE79ACE03D2}" keepAlive="1" name="Query - BusFleetMSD_STG" description="Connection to the 'BusFleetMSD_STG' query in the workbook." type="5" refreshedVersion="7" background="1" saveData="1">
    <dbPr connection="Provider=Microsoft.Mashup.OleDb.1;Data Source=$Workbook$;Location=BusFleetMSD_STG;Extended Properties=&quot;&quot;" command="SELECT * FROM [BusFleetMSD_STG]"/>
  </connection>
  <connection id="4" xr16:uid="{C76D0260-BD0A-40A7-92FE-E546D4F95BBD}" keepAlive="1" name="Query - Merge1" description="Connection to the 'Merge1' query in the workbook." type="5" refreshedVersion="7"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<sst xmlns="http://schemas.openxmlformats.org/spreadsheetml/2006/main" count="10994" uniqueCount="432">
  <si>
    <t>STD</t>
  </si>
  <si>
    <t>Friday</t>
  </si>
  <si>
    <t>Saturday</t>
  </si>
  <si>
    <t>bk_date_start</t>
  </si>
  <si>
    <t>rte_service_type</t>
  </si>
  <si>
    <t>rte_identifier5</t>
  </si>
  <si>
    <t>rte_long_name</t>
  </si>
  <si>
    <t>rte_depot</t>
  </si>
  <si>
    <t>rte_depot_abbr</t>
  </si>
  <si>
    <t>rte_veh_type</t>
  </si>
  <si>
    <t>sched_type</t>
  </si>
  <si>
    <t>csc_cscseqno</t>
  </si>
  <si>
    <t>rev_trip_count</t>
  </si>
  <si>
    <t>nrev_trip_count</t>
  </si>
  <si>
    <t>rev_km</t>
  </si>
  <si>
    <t>dh_km</t>
  </si>
  <si>
    <t>rte_frequency</t>
  </si>
  <si>
    <t>rte_peak_req</t>
  </si>
  <si>
    <t>dty_types</t>
  </si>
  <si>
    <t>dty_type_cnt1</t>
  </si>
  <si>
    <t>dty_type_cnt2</t>
  </si>
  <si>
    <t>dty_type_cnt3</t>
  </si>
  <si>
    <t>dty_type_cnt4</t>
  </si>
  <si>
    <t>dty_type_cnt5</t>
  </si>
  <si>
    <t>Grand Total</t>
  </si>
  <si>
    <t>Values</t>
  </si>
  <si>
    <t>PVR</t>
  </si>
  <si>
    <t>Routes</t>
  </si>
  <si>
    <t>Duty</t>
  </si>
  <si>
    <t>rte freq</t>
  </si>
  <si>
    <t>Rev KM</t>
  </si>
  <si>
    <t>Dead KM</t>
  </si>
  <si>
    <t>Rev Trip</t>
  </si>
  <si>
    <t>Veh Type</t>
  </si>
  <si>
    <t>.</t>
  </si>
  <si>
    <t>Total KM</t>
  </si>
  <si>
    <t>rte_depot_Name</t>
  </si>
  <si>
    <t>FileName</t>
  </si>
  <si>
    <t>File path:</t>
  </si>
  <si>
    <t>Home Depot</t>
  </si>
  <si>
    <t>Duty_CNT</t>
  </si>
  <si>
    <t>Step -1</t>
  </si>
  <si>
    <t>Step - 2</t>
  </si>
  <si>
    <t>Nrev Trip</t>
  </si>
  <si>
    <t>Total Trip</t>
  </si>
  <si>
    <t>Sunday</t>
  </si>
  <si>
    <t>Urban</t>
  </si>
  <si>
    <t>ARTI</t>
  </si>
  <si>
    <t>Al Satwa Bus Stn - International City</t>
  </si>
  <si>
    <t>Express</t>
  </si>
  <si>
    <t>C09</t>
  </si>
  <si>
    <t>Al Satwa Bus Stn - Hor Al Anz East, Qiyadah MS</t>
  </si>
  <si>
    <t>C10</t>
  </si>
  <si>
    <t>Hamriya Port, Control Tower - Mercato Shopping Mall</t>
  </si>
  <si>
    <t>Feeder</t>
  </si>
  <si>
    <t>Urban Cost Sharing</t>
  </si>
  <si>
    <t>C03</t>
  </si>
  <si>
    <t>Al Karama Bus Stn - Abu Hail MS</t>
  </si>
  <si>
    <t>scud_date</t>
  </si>
  <si>
    <t>M-Tu-W-Th</t>
  </si>
  <si>
    <t>Al Awir Depot</t>
  </si>
  <si>
    <t>Al Baraha Bus Stn  - Ibn Battuta MS</t>
  </si>
  <si>
    <t>Al Rashidiya Bus Stn - Al Awir Immigration</t>
  </si>
  <si>
    <t>MIDI</t>
  </si>
  <si>
    <t>13D</t>
  </si>
  <si>
    <t>Gold Souq Bus Stn - Al Qusais Bus Stn</t>
  </si>
  <si>
    <t>20A</t>
  </si>
  <si>
    <t>Al Nahda 1, Terminus 2 - Al Warsan 3</t>
  </si>
  <si>
    <t>20B</t>
  </si>
  <si>
    <t>Al Warsan 3 - Al Nahda 1, Terminus 2</t>
  </si>
  <si>
    <t>Deira City Center Bus Stn - Al Nahda 1</t>
  </si>
  <si>
    <t>Al Nahda 2 - Dubai Festival City</t>
  </si>
  <si>
    <t>Al Rashidiya Bus Stn - International City</t>
  </si>
  <si>
    <t>Al Rashidiya Bus Stn - Academic City</t>
  </si>
  <si>
    <t>Gold Souq Bus Stn - Int'l City Bus Stn</t>
  </si>
  <si>
    <t>Gold Souq Bus Stn - Ras Al Khor</t>
  </si>
  <si>
    <t>DBLD</t>
  </si>
  <si>
    <t>C05</t>
  </si>
  <si>
    <t>Gold Souq Bus Stn - Al Ghubaiba Bus Stn</t>
  </si>
  <si>
    <t>F01</t>
  </si>
  <si>
    <t>F02</t>
  </si>
  <si>
    <t>Etisalat MS - Al Muhaisnah 4</t>
  </si>
  <si>
    <t>F03</t>
  </si>
  <si>
    <t>Al Rashidiya Bus Stn - Mirdiff West</t>
  </si>
  <si>
    <t>F04</t>
  </si>
  <si>
    <t>F05</t>
  </si>
  <si>
    <t>Al Rashidiya Bus Stn - Mizhar 1</t>
  </si>
  <si>
    <t>F06</t>
  </si>
  <si>
    <t>Al Rashidiya Bus Stn - Al Rashidiya</t>
  </si>
  <si>
    <t>F10</t>
  </si>
  <si>
    <t>Al Rashidiya Bus Stn - Dubai Safari Park</t>
  </si>
  <si>
    <t>F22</t>
  </si>
  <si>
    <t>F23</t>
  </si>
  <si>
    <t>F23A</t>
  </si>
  <si>
    <t>F24</t>
  </si>
  <si>
    <t>F60</t>
  </si>
  <si>
    <t>Al Rashidiya Bus Stn - Downtown Mirdiff Gate</t>
  </si>
  <si>
    <t>F61</t>
  </si>
  <si>
    <t>Al Rashidiya Bus Stn - Al Warqa'a</t>
  </si>
  <si>
    <t>F70</t>
  </si>
  <si>
    <t>Oud Metha Bus Stn - Dubai Museum</t>
  </si>
  <si>
    <t>Night</t>
  </si>
  <si>
    <t>N30</t>
  </si>
  <si>
    <t>Int'l City Bus Stn - Airport Terminal 2</t>
  </si>
  <si>
    <t>X23</t>
  </si>
  <si>
    <t>X25</t>
  </si>
  <si>
    <t>X64</t>
  </si>
  <si>
    <t>Al Baraha Bus Stn - Ras Al Khor</t>
  </si>
  <si>
    <t>Al Qusais Bus Stn - Jebel Ali Ind'l Area 7</t>
  </si>
  <si>
    <t>F62</t>
  </si>
  <si>
    <t>Rashidiya MS - Awir CMC</t>
  </si>
  <si>
    <t>Rashidiya MS - Gold Souq Bus Stn</t>
  </si>
  <si>
    <t>Abu Hail MS - Union Bus Stn</t>
  </si>
  <si>
    <t>Union Bus Stn - Al Baraha</t>
  </si>
  <si>
    <t>Awir</t>
  </si>
  <si>
    <t>AAD</t>
  </si>
  <si>
    <t>A|B|C</t>
  </si>
  <si>
    <t>Al Ghubaiba Bus Stn - Al Rashidiya Bus Stn</t>
  </si>
  <si>
    <t>Int'l City Bus Stn - Business Bay 2 Bus Stn</t>
  </si>
  <si>
    <t>Deira City Center Bus Stn - Dubai Internet City MS</t>
  </si>
  <si>
    <t>C01</t>
  </si>
  <si>
    <t>Airport Terminal 3 - Al Satwa Bus Stn</t>
  </si>
  <si>
    <t>C15</t>
  </si>
  <si>
    <t>Hamriya Port, Control Tower - Deira City Center Bus Stn</t>
  </si>
  <si>
    <t>C18</t>
  </si>
  <si>
    <t>Shaikh Rashid Colony - Oud Metha Bus Stn</t>
  </si>
  <si>
    <t>Stadium Bus Stn - Qusais Ind'l Area 4</t>
  </si>
  <si>
    <t>Stadium Bus Stn - Qusais Ind'l area 3</t>
  </si>
  <si>
    <t>F39</t>
  </si>
  <si>
    <t>Etisalat Bus Station - Oud Al Mateena</t>
  </si>
  <si>
    <t>F40</t>
  </si>
  <si>
    <t>Etisalat Bus Station - Mirdiff</t>
  </si>
  <si>
    <t>F63</t>
  </si>
  <si>
    <t>Union Bus Station - Al Ras MS</t>
  </si>
  <si>
    <t>Al Ghubaiba Bus Stn - Int'l City Bus Stn</t>
  </si>
  <si>
    <t>X94</t>
  </si>
  <si>
    <t>Gold Souq Bus Stn - Dubai Investment Park</t>
  </si>
  <si>
    <t>36A</t>
  </si>
  <si>
    <t>Silicon Oasis - Etisalat MS</t>
  </si>
  <si>
    <t>36B</t>
  </si>
  <si>
    <t>Etisalat MS - Silicon Oasis</t>
  </si>
  <si>
    <t>13A</t>
  </si>
  <si>
    <t>13B</t>
  </si>
  <si>
    <t>Gold Souq Bus Stn - Al Qusais Ind'l Area 2</t>
  </si>
  <si>
    <t>Baniyas Square MS - Muhaisnah 4, Wasl Oasis 2</t>
  </si>
  <si>
    <t>Scenario</t>
  </si>
  <si>
    <t>EMT1</t>
  </si>
  <si>
    <t>Dubai Mall MS - Onpassive MS</t>
  </si>
  <si>
    <t>Al Garhoud MS - Sabkha, Turnoff</t>
  </si>
  <si>
    <t>Dubai Outsource City RBS - Silicon Oasis</t>
  </si>
  <si>
    <t>Baniyas MS - Al Garhoud</t>
  </si>
  <si>
    <t>Nadd Al Hamar - Emirates MS</t>
  </si>
  <si>
    <t>Al Karama Bus Stn - Silicon Oasis</t>
  </si>
  <si>
    <t>Etisalat</t>
  </si>
  <si>
    <t>EMBD</t>
  </si>
  <si>
    <t>Etisalat Mini Depot</t>
  </si>
  <si>
    <t>STDV</t>
  </si>
  <si>
    <t>F07</t>
  </si>
  <si>
    <t>Etisalat MS -  Al Qusais DM Housing</t>
  </si>
  <si>
    <t>JebelAli</t>
  </si>
  <si>
    <t>JAD</t>
  </si>
  <si>
    <t>Jebel Ali Depot</t>
  </si>
  <si>
    <t>Danube Metro Stn - DWC, Staff Village</t>
  </si>
  <si>
    <t>Al Ghubaiba Bus Stn - Al Fardan Exchange MS</t>
  </si>
  <si>
    <t>Al Khail Gate - Jumeirah Beach Residence Station</t>
  </si>
  <si>
    <t>95A</t>
  </si>
  <si>
    <t>Jebel Ali Waterfront, Veneto - Parco Hypermarket</t>
  </si>
  <si>
    <t>Al Quoz Bus Stn - DIP</t>
  </si>
  <si>
    <t>Jebel Ali Bus Stn - Life Pharmacy MS</t>
  </si>
  <si>
    <t>DA2</t>
  </si>
  <si>
    <t>Dubai Studio City - Damac Hills 2</t>
  </si>
  <si>
    <t>COAC</t>
  </si>
  <si>
    <t>DPR1</t>
  </si>
  <si>
    <t>Ibn Battuta MS - Dubai Parks and Resorts</t>
  </si>
  <si>
    <t>DS1</t>
  </si>
  <si>
    <t>Expo 2020 MS - Dubai South</t>
  </si>
  <si>
    <t>Intercity</t>
  </si>
  <si>
    <t>E101</t>
  </si>
  <si>
    <t>Ibn Battuta  MS - Abu Dhabi, Central Bus Stn</t>
  </si>
  <si>
    <t>F31</t>
  </si>
  <si>
    <t>Dubai Internet City MS - The Meadows East</t>
  </si>
  <si>
    <t>F34</t>
  </si>
  <si>
    <t>DIC MS - Dubai Production City</t>
  </si>
  <si>
    <t>F38</t>
  </si>
  <si>
    <t>Jumeirah Golf Estate MS - Dubai Sports City</t>
  </si>
  <si>
    <t>F43</t>
  </si>
  <si>
    <t>Ibn Battuta MS - Discovery Gardens</t>
  </si>
  <si>
    <t>F44</t>
  </si>
  <si>
    <t>Energy MS - Jebel Ali Gardens</t>
  </si>
  <si>
    <t>F45</t>
  </si>
  <si>
    <t>Al Furjan - Discovery Gardens</t>
  </si>
  <si>
    <t>F46</t>
  </si>
  <si>
    <t>Ibn Battuta MS - DIP 2</t>
  </si>
  <si>
    <t>F47</t>
  </si>
  <si>
    <t>Danube MS - DIP MS</t>
  </si>
  <si>
    <t>F48</t>
  </si>
  <si>
    <t>Danube MS - DIP 2</t>
  </si>
  <si>
    <t>F49</t>
  </si>
  <si>
    <t>Danube MS - Jebel Ali Industrial Area</t>
  </si>
  <si>
    <t>F50</t>
  </si>
  <si>
    <t>DIP MS - DIP 2</t>
  </si>
  <si>
    <t>F51</t>
  </si>
  <si>
    <t>DIP MS - DIP 1</t>
  </si>
  <si>
    <t>F53</t>
  </si>
  <si>
    <t>Danube MS - Dubai Ind'l City</t>
  </si>
  <si>
    <t>F54</t>
  </si>
  <si>
    <t>Danube MS - JAFZA South</t>
  </si>
  <si>
    <t>F55</t>
  </si>
  <si>
    <t>Expo 2020 MS - AMI Airport (PTB)</t>
  </si>
  <si>
    <t>F57</t>
  </si>
  <si>
    <t>National Paints MS - Bluewaters Island</t>
  </si>
  <si>
    <t>F58</t>
  </si>
  <si>
    <t>Al Fardan Exchange MS - Dubai Internet City</t>
  </si>
  <si>
    <t>F59</t>
  </si>
  <si>
    <t>Dubai Internet City MS - Dubai Knowledge Village</t>
  </si>
  <si>
    <t>J02</t>
  </si>
  <si>
    <t>IMPZ - Mira</t>
  </si>
  <si>
    <t>J03</t>
  </si>
  <si>
    <t>Dubai Studio City - Damac Hills</t>
  </si>
  <si>
    <t>J04</t>
  </si>
  <si>
    <t>Dubai Studio City - Remraam</t>
  </si>
  <si>
    <t>J05</t>
  </si>
  <si>
    <t>Dubai Studio City - Mira</t>
  </si>
  <si>
    <t>JLT1</t>
  </si>
  <si>
    <t>Sobha Realty MS - JLT, Damas</t>
  </si>
  <si>
    <t>JLT2</t>
  </si>
  <si>
    <t>DMCC MS - JLT, Silver Tower</t>
  </si>
  <si>
    <t>N55</t>
  </si>
  <si>
    <t>Al Ghubaiba Bus Stn - AMI Airport (PTB)</t>
  </si>
  <si>
    <t>X91</t>
  </si>
  <si>
    <t>Al Ghubaiba Bus Station - Jebel Ali, Bus Station</t>
  </si>
  <si>
    <t>X92</t>
  </si>
  <si>
    <t>Al Ghubaiba Bus Stn - Parco Hypermarket</t>
  </si>
  <si>
    <t>Khawanee</t>
  </si>
  <si>
    <t>AKD</t>
  </si>
  <si>
    <t>Al Khawaneej Depot</t>
  </si>
  <si>
    <t>32C</t>
  </si>
  <si>
    <t>Al Qusais Bus Stn - Al Satwa Bus Stn</t>
  </si>
  <si>
    <t>Al Karama Bus Stn - Al Qusais Bus Stn</t>
  </si>
  <si>
    <t>Etisalat MS - Al Khawaneej 2</t>
  </si>
  <si>
    <t>C26</t>
  </si>
  <si>
    <t>Al Wasl Park - Qusais Ind'l Area</t>
  </si>
  <si>
    <t>C28</t>
  </si>
  <si>
    <t>Al Baraha Bus Stn - Mamzar Beach Park</t>
  </si>
  <si>
    <t>F08</t>
  </si>
  <si>
    <t>Dubai Festival City - Al Nahda 2</t>
  </si>
  <si>
    <t>F21</t>
  </si>
  <si>
    <t>Al Nahda MS - Al Nahda 2</t>
  </si>
  <si>
    <t>F81</t>
  </si>
  <si>
    <t>Al Qusais Ind'l Area Terminus 1 - Al Nahda MS</t>
  </si>
  <si>
    <t>X13</t>
  </si>
  <si>
    <t>LuLu Village - Al Satwa Bus Stn</t>
  </si>
  <si>
    <t>X22</t>
  </si>
  <si>
    <t>Al Qusais Ind'l Area 2 - Business Bay MS</t>
  </si>
  <si>
    <t>X28</t>
  </si>
  <si>
    <t>Lulu Village - First Avenue Mall</t>
  </si>
  <si>
    <t>Qouz</t>
  </si>
  <si>
    <t>Al Quoz, Bus Stn -  Al Satwa Bus Stn</t>
  </si>
  <si>
    <t>AQZD</t>
  </si>
  <si>
    <t>Al Quoz Depot</t>
  </si>
  <si>
    <t>Al Ghubaiba Bus Stn - Business Bay MS</t>
  </si>
  <si>
    <t>Gold Souq Bus Stn - Al Quoz Bus Stn</t>
  </si>
  <si>
    <t>On Hold</t>
  </si>
  <si>
    <t>MOE MS - Miracle Garden</t>
  </si>
  <si>
    <t>Onpassive MS - Al Quoz Creative</t>
  </si>
  <si>
    <t>Al Ghubaiba Bus Stn - Al Quoz Bus Stn</t>
  </si>
  <si>
    <t>Al Ghubaiba Bus Stn - Al Khail Gate</t>
  </si>
  <si>
    <t>21A</t>
  </si>
  <si>
    <t>Al Quoz Bus Stn - Al Ghubaiba Bus Stn</t>
  </si>
  <si>
    <t>21B</t>
  </si>
  <si>
    <t>Gold Souq Bus Stn - Dubai Mall</t>
  </si>
  <si>
    <t>Al Ghubaiba Bus Stn - Dubai Mall</t>
  </si>
  <si>
    <t>Al Khail Gate - Business Bay MS</t>
  </si>
  <si>
    <t>63E</t>
  </si>
  <si>
    <t>Al Qusais Bus Stn - Al Quoz Bus Stn</t>
  </si>
  <si>
    <t>Dubai Mall - MOEMS</t>
  </si>
  <si>
    <t>Al Ghubaiba Bus Stn - MOE MS</t>
  </si>
  <si>
    <t>98E</t>
  </si>
  <si>
    <t>Al Quoz Bus Stn - Al Satwa</t>
  </si>
  <si>
    <t>DH1</t>
  </si>
  <si>
    <t>Equiti MS - Dubai Hills</t>
  </si>
  <si>
    <t>F09</t>
  </si>
  <si>
    <t>Al Jafiliya Bus Stn (Dubai Frame) - Al Wasl Park</t>
  </si>
  <si>
    <t>F13</t>
  </si>
  <si>
    <t>Dubai Mall MS - The Dubai Mall</t>
  </si>
  <si>
    <t>F14</t>
  </si>
  <si>
    <t>Business Bay 2 Bus Stn - Business Bay MS</t>
  </si>
  <si>
    <t>F15</t>
  </si>
  <si>
    <t>Onpassive Bus Terminus - Al Qouz Ind'l Area 2</t>
  </si>
  <si>
    <t>F16</t>
  </si>
  <si>
    <t>Onpassive Bus Terminus - Al Qouz, New Housing</t>
  </si>
  <si>
    <t>F20</t>
  </si>
  <si>
    <t>Business Bay MS - Al Safa 1</t>
  </si>
  <si>
    <t>F26</t>
  </si>
  <si>
    <t>Onpassive MS - Equiti MS</t>
  </si>
  <si>
    <t>F26A</t>
  </si>
  <si>
    <t>Onpassive Bus Terminus - Al Qouz Ind'l Area 4</t>
  </si>
  <si>
    <t>F29</t>
  </si>
  <si>
    <t>Equiti MS - Al Wasl</t>
  </si>
  <si>
    <t>F30</t>
  </si>
  <si>
    <t>MOE MS - Dubai Studio City</t>
  </si>
  <si>
    <t>F32</t>
  </si>
  <si>
    <t>MOE MS - The Sustainable City</t>
  </si>
  <si>
    <t>F33</t>
  </si>
  <si>
    <t>MOE MS - Al Barsha-3</t>
  </si>
  <si>
    <t>F35</t>
  </si>
  <si>
    <t>MOE MS - The Greens</t>
  </si>
  <si>
    <t>F36</t>
  </si>
  <si>
    <t>MOE MS - Arjan</t>
  </si>
  <si>
    <t>F37</t>
  </si>
  <si>
    <t>MOE MS - Sports City</t>
  </si>
  <si>
    <t>F41</t>
  </si>
  <si>
    <t>Business Bay MS - Coral Tower</t>
  </si>
  <si>
    <t>J01</t>
  </si>
  <si>
    <t>MOE MS - Jumeirah Village Circle</t>
  </si>
  <si>
    <t>SH1</t>
  </si>
  <si>
    <t>Dubai Mall MS - Sobha Hartland</t>
  </si>
  <si>
    <t>Oud Metha Bus Stn - Business Bay MS</t>
  </si>
  <si>
    <t>Oud Metha Bus Stn - Al Nahda 1</t>
  </si>
  <si>
    <t>Qusais</t>
  </si>
  <si>
    <t>AQDI</t>
  </si>
  <si>
    <t>Al Qusais Depot</t>
  </si>
  <si>
    <t>AQD</t>
  </si>
  <si>
    <t>Mon-Wed</t>
  </si>
  <si>
    <t>Oud Metha MS - Wafi Residences</t>
  </si>
  <si>
    <t>Al Nahda 1 - Muhaisnah 4</t>
  </si>
  <si>
    <t>Al Nahda 1 - Stadium Bus Stn</t>
  </si>
  <si>
    <t>62A</t>
  </si>
  <si>
    <t>Al Qusais Industrial Area 5 - Al Qusais MS</t>
  </si>
  <si>
    <t>62B</t>
  </si>
  <si>
    <t>Al Qusais MS - Ras Al Khor, Samari Residency</t>
  </si>
  <si>
    <t>E100</t>
  </si>
  <si>
    <t>Al Ghubaiba Bus Stn - Abu Dhabi CBS</t>
  </si>
  <si>
    <t>E102</t>
  </si>
  <si>
    <t>Al Jafiliya Bus Stn - Mussafa Shabia Bus Stn</t>
  </si>
  <si>
    <t>E16</t>
  </si>
  <si>
    <t>Union Bus Stn - Hatta Bus Stn</t>
  </si>
  <si>
    <t>E201</t>
  </si>
  <si>
    <t>Al Ghubaiba Bus Stn - Al Ain Bus Stn</t>
  </si>
  <si>
    <t>E303</t>
  </si>
  <si>
    <t>Union Bus Stn - Al Jubail Bus Stn</t>
  </si>
  <si>
    <t>E306</t>
  </si>
  <si>
    <t>Ghubaiba Bus Stn - Al Jubail Bus Stn</t>
  </si>
  <si>
    <t>E307</t>
  </si>
  <si>
    <t>Deira City Center Bus Stn - Al Jubail Bus Stn</t>
  </si>
  <si>
    <t>E307A</t>
  </si>
  <si>
    <t>Abu Hail MS - Al Jubail Bus Stn</t>
  </si>
  <si>
    <t>E308</t>
  </si>
  <si>
    <t>Stadium Bus Stn - Sharjah, Al Jubail Bus Stn</t>
  </si>
  <si>
    <t>E315</t>
  </si>
  <si>
    <t>Etisalat MS - Muwailah Bus Stn</t>
  </si>
  <si>
    <t>E400</t>
  </si>
  <si>
    <t>Union Bus Stn - Ajman Bus Stn</t>
  </si>
  <si>
    <t>E411</t>
  </si>
  <si>
    <t>Etisalat MS - Ajman Bus Stn</t>
  </si>
  <si>
    <t>E700</t>
  </si>
  <si>
    <t>Etisalat Bus Stn - Fujairah Bus Stn</t>
  </si>
  <si>
    <t>Stadium Bus Stn - Al Nahda Terminus</t>
  </si>
  <si>
    <t>Stadium Bus Stn - Al Nahda 1, Terminus 2</t>
  </si>
  <si>
    <t>H01</t>
  </si>
  <si>
    <t>H02</t>
  </si>
  <si>
    <t>Dubai Mall - Hatta Bus Stn</t>
  </si>
  <si>
    <t>Rural (Fixed Fare)</t>
  </si>
  <si>
    <t>H03</t>
  </si>
  <si>
    <t>Hatta Bus Stn - Masfut, Sheikh Khalifa Hospital</t>
  </si>
  <si>
    <t>H04</t>
  </si>
  <si>
    <t>Hatta - Hop on hop off</t>
  </si>
  <si>
    <t>T10</t>
  </si>
  <si>
    <t>Dubai Mall - City Walk</t>
  </si>
  <si>
    <t>Thursday</t>
  </si>
  <si>
    <t>W20</t>
  </si>
  <si>
    <t>Stadium Bus Stn - Al Mamzar Beach Park</t>
  </si>
  <si>
    <t>Ruwayyah</t>
  </si>
  <si>
    <t>ARD</t>
  </si>
  <si>
    <t>Al Ruwayyah Depot</t>
  </si>
  <si>
    <t>Oud Metha Bus Stn - Business Bay 2 Bus Stn</t>
  </si>
  <si>
    <t>Dubai Mall - Oud Metha Bus Stn</t>
  </si>
  <si>
    <t>Dubai Mall MS - Dubai Sky Courts</t>
  </si>
  <si>
    <t>Al Ghubaiba Bus Stn - Ras Al Khor Samari Residence</t>
  </si>
  <si>
    <t>Al Ghubaiba Bus Stn - Al Faqa</t>
  </si>
  <si>
    <t>Al Ghubaiba Bus Stn - Dubai Endurance City</t>
  </si>
  <si>
    <t>Lehbab First Park - Al Lisaily</t>
  </si>
  <si>
    <t>C04</t>
  </si>
  <si>
    <t>Gold Souq Bus Stn - Creek MS</t>
  </si>
  <si>
    <t>D03</t>
  </si>
  <si>
    <t>Dubai Mall MS - Dubai Design District</t>
  </si>
  <si>
    <t>F11</t>
  </si>
  <si>
    <t>Financial Center MS - Al Satwa</t>
  </si>
  <si>
    <t>F12</t>
  </si>
  <si>
    <t>Max MS - Mankhool</t>
  </si>
  <si>
    <t>F17</t>
  </si>
  <si>
    <t>Onpassive Bus Terminus - Al Khail Gate</t>
  </si>
  <si>
    <t>F18</t>
  </si>
  <si>
    <t>Oud Metha MS - Lamcy Plaza</t>
  </si>
  <si>
    <t>F19A</t>
  </si>
  <si>
    <t>Bay Square - Business Bay 2 Bus Stn</t>
  </si>
  <si>
    <t>F19B</t>
  </si>
  <si>
    <t>Business Bay 2 Bus Stn - Bay Square</t>
  </si>
  <si>
    <t>F25</t>
  </si>
  <si>
    <t>Equiti MS - Al Qouz Ind'l Area 3 &amp; 4</t>
  </si>
  <si>
    <t>F27</t>
  </si>
  <si>
    <t>Al Jafiliya Bus Stn - Al Satwa</t>
  </si>
  <si>
    <t>F28</t>
  </si>
  <si>
    <t>Emirates Tower MS - Satwa</t>
  </si>
  <si>
    <t>X02</t>
  </si>
  <si>
    <t>Union Bus Stn - Al Satwa</t>
  </si>
  <si>
    <t>Seasonal</t>
  </si>
  <si>
    <t>E333</t>
  </si>
  <si>
    <t>Etisalat Bus Stn - Sharjah International Airport</t>
  </si>
  <si>
    <t>GV</t>
  </si>
  <si>
    <t>Seasonal Cost Sharing</t>
  </si>
  <si>
    <t>Al Rashidiya Bus Stn - Global Village</t>
  </si>
  <si>
    <t>B|C</t>
  </si>
  <si>
    <t>Union Bus Stn - Global Village</t>
  </si>
  <si>
    <t>Al Ghubaiba Bus Stn - Global Village</t>
  </si>
  <si>
    <t>MOE MS - Global Village</t>
  </si>
  <si>
    <t>Al Nahda 1, Terminus 2 - Global Village</t>
  </si>
  <si>
    <t>Al Satwa Bus Stn - Global Village</t>
  </si>
  <si>
    <t>88A</t>
  </si>
  <si>
    <t>Al Satwa Bus Stn - Jumeirah 3</t>
  </si>
  <si>
    <t>88B</t>
  </si>
  <si>
    <t>Jumeirah 3 - Al Satwa Bus Stn</t>
  </si>
  <si>
    <t>93A</t>
  </si>
  <si>
    <t>Al Satwa Bus Stn - Al Wasl Road 5</t>
  </si>
  <si>
    <t>93B</t>
  </si>
  <si>
    <t>Al Wasl Road 5 - Al Satwa Bus Stn</t>
  </si>
  <si>
    <t>EKG</t>
  </si>
  <si>
    <t>E309</t>
  </si>
  <si>
    <t>Stadium Bus Stn - Sharjah, Al Qasba</t>
  </si>
  <si>
    <t>C:\Users\ajhussain\Desktop\File\New folder\20260320_ServIndiceE.txt</t>
  </si>
  <si>
    <t>20/03/2026</t>
  </si>
  <si>
    <t>Effective Date: 20/03/2026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</si>
</sst>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sz val="10"/>
      <color theme="0"/>
      <name val="Arial"/>
      <family val="2"/>
    </font>
    <font>
      <sz val="8"/>
      <name val="Calibri"/>
      <family val="2"/>
      <scheme val="minor"/>
    </font>
    <font>
      <b/>
      <sz val="9"/>
      <name val="Arial"/>
      <family val="2"/>
    </font>
    <font>
      <sz val="11"/>
      <color theme="0"/>
      <name val="Calibri"/>
      <family val="2"/>
      <scheme val="minor"/>
    </font>
    <font>
      <sz val="18"/>
      <name val="RTA Office"/>
    </font>
  </fonts>
  <fills count="6">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tint="0.24994659260841701"/>
      </left>
      <right/>
      <top style="thin">
        <color theme="1" tint="0.24994659260841701"/>
      </top>
      <bottom style="thin">
        <color theme="1" tint="0.24994659260841701"/>
      </bottom>
      <diagonal/>
    </border>
    <border>
      <left/>
      <right/>
      <top style="thin">
        <color theme="1" tint="0.24994659260841701"/>
      </top>
      <bottom style="thin">
        <color theme="1" tint="0.24994659260841701"/>
      </bottom>
      <diagonal/>
    </border>
    <border>
      <left/>
      <right style="thin">
        <color theme="1" tint="0.24994659260841701"/>
      </right>
      <top style="thin">
        <color theme="1" tint="0.24994659260841701"/>
      </top>
      <bottom style="thin">
        <color theme="1" tint="0.2499465926084170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37">
    <xf numFmtId="0" fontId="0" fillId="0" borderId="0" xfId="0"/>
    <xf numFmtId="0" fontId="0" fillId="0" borderId="0" xfId="0" pivotButton="1"/>
    <xf numFmtId="0" fontId="2" fillId="0" borderId="1" xfId="0" applyFont="1" applyBorder="1" applyAlignment="1">
      <alignment horizontal="centerContinuous"/>
    </xf>
    <xf numFmtId="0" fontId="2" fillId="0" borderId="2" xfId="0" applyFont="1" applyBorder="1" applyAlignment="1">
      <alignment horizontal="centerContinuous"/>
    </xf>
    <xf numFmtId="3" fontId="0" fillId="0" borderId="0" xfId="0" applyNumberFormat="1"/>
    <xf numFmtId="0" fontId="2" fillId="0" borderId="1" xfId="0" applyFont="1" applyBorder="1" applyAlignment="1">
      <alignment vertical="center"/>
    </xf>
    <xf numFmtId="0" fontId="2" fillId="0" borderId="3" xfId="0" applyFont="1" applyBorder="1" applyAlignment="1">
      <alignment horizontal="centerContinuous"/>
    </xf>
    <xf numFmtId="0" fontId="3" fillId="0" borderId="0" xfId="0" applyFont="1"/>
    <xf numFmtId="0" fontId="3" fillId="2" borderId="0" xfId="0" applyFont="1" applyFill="1" applyAlignment="1">
      <alignment wrapText="1"/>
    </xf>
    <xf numFmtId="0" fontId="3" fillId="2" borderId="0" xfId="0" applyFont="1" applyFill="1"/>
    <xf numFmtId="0" fontId="3" fillId="2" borderId="0" xfId="0" applyFont="1" applyFill="1" applyAlignment="1">
      <alignment horizontal="center"/>
    </xf>
    <xf numFmtId="0" fontId="4" fillId="2" borderId="0" xfId="0" applyFont="1" applyFill="1"/>
    <xf numFmtId="0" fontId="0" fillId="2" borderId="0" xfId="0" applyFill="1"/>
    <xf numFmtId="0" fontId="6" fillId="2" borderId="0" xfId="0" applyFont="1" applyFill="1"/>
    <xf numFmtId="0" fontId="0" fillId="0" borderId="4" xfId="0" applyBorder="1"/>
    <xf numFmtId="14" fontId="0" fillId="0" borderId="0" xfId="0" applyNumberFormat="1"/>
    <xf numFmtId="0" fontId="1" fillId="3" borderId="6" xfId="0" applyFont="1" applyFill="1" applyBorder="1" applyAlignment="1">
      <alignment horizontal="center" vertical="center"/>
    </xf>
    <xf numFmtId="0" fontId="0" fillId="4" borderId="7" xfId="0" applyFill="1" applyBorder="1"/>
    <xf numFmtId="0" fontId="0" fillId="4" borderId="8" xfId="0" applyFill="1" applyBorder="1"/>
    <xf numFmtId="0" fontId="0" fillId="4" borderId="9" xfId="0" applyFill="1" applyBorder="1"/>
    <xf numFmtId="0" fontId="0" fillId="5" borderId="10" xfId="0" applyFill="1" applyBorder="1"/>
    <xf numFmtId="0" fontId="0" fillId="5" borderId="11" xfId="0" applyFill="1" applyBorder="1"/>
    <xf numFmtId="0" fontId="0" fillId="0" borderId="5" xfId="0" applyBorder="1"/>
    <xf numFmtId="0" fontId="2" fillId="0" borderId="1" xfId="0" pivotButton="1" applyFont="1" applyBorder="1" applyAlignment="1">
      <alignment horizontal="left" vertical="center"/>
    </xf>
    <xf numFmtId="0" fontId="0" fillId="0" borderId="0" xfId="0" pivotButton="1" applyAlignment="1">
      <alignment horizontal="left"/>
    </xf>
    <xf numFmtId="0" fontId="0" fillId="0" borderId="0" xfId="0" applyAlignment="1">
      <alignment horizontal="center" vertical="center"/>
    </xf>
    <xf numFmtId="0" fontId="7" fillId="0" borderId="0" xfId="0" applyFont="1"/>
    <xf numFmtId="0" fontId="8" fillId="0" borderId="0" xfId="0" applyFont="1"/>
    <xf numFmtId="0" fontId="0" fillId="0" borderId="5" xfId="0" applyBorder="1" applyAlignment="1">
      <alignment horizontal="centerContinuous"/>
    </xf>
    <xf numFmtId="0" fontId="0" fillId="0" borderId="1" xfId="0" applyBorder="1" applyAlignment="1">
      <alignment horizontal="centerContinuous"/>
    </xf>
    <xf numFmtId="0" fontId="0" fillId="0" borderId="6" xfId="0" applyBorder="1" applyAlignment="1">
      <alignment vertical="center"/>
    </xf>
    <xf numFmtId="0" fontId="0" fillId="0" borderId="12" xfId="0" applyBorder="1" applyAlignment="1">
      <alignment vertical="center"/>
    </xf>
    <xf numFmtId="0" fontId="2" fillId="0" borderId="13" xfId="0" applyFont="1" applyBorder="1" applyAlignment="1">
      <alignment horizontal="centerContinuous"/>
    </xf>
    <xf numFmtId="0" fontId="2" fillId="0" borderId="4" xfId="0" applyFont="1" applyBorder="1" applyAlignment="1">
      <alignment horizontal="centerContinuous"/>
    </xf>
    <xf numFmtId="0" fontId="2" fillId="0" borderId="5" xfId="0" applyFont="1" applyBorder="1" applyAlignment="1">
      <alignment horizontal="centerContinuous"/>
    </xf>
    <xf numFmtId="0" fontId="0" fillId="0" borderId="0" xfId="0" applyAlignment="1">
      <alignment horizontal="center"/>
    </xf>
    <xf numFmtId="0" fontId="0" fillId="0" borderId="0" xfId="0" applyNumberFormat="1"/>
  </cellXfs>
  <cellStyles count="2">
    <cellStyle name="Normal" xfId="0" builtinId="0"/>
    <cellStyle name="Normal 2" xfId="1" xr:uid="{A526C30E-7CA4-496B-8983-92FD8D8DD5CF}"/>
  </cellStyles>
  <dxfs count="393">
    <dxf>
      <alignment horizontal="centerContinuous"/>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Continuous"/>
    </dxf>
    <dxf>
      <font>
        <b/>
      </font>
      <alignment horizontal="centerContinuous"/>
    </dxf>
    <dxf>
      <font>
        <b/>
      </font>
      <alignment horizontal="centerContinuous"/>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numFmt numFmtId="3" formatCode="#,##0"/>
    </dxf>
    <dxf>
      <numFmt numFmtId="3" formatCode="#,##0"/>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center"/>
    </dxf>
    <dxf>
      <alignment vertical="center"/>
    </dxf>
    <dxf>
      <font>
        <b/>
      </font>
      <alignment horizontal="centerContinuous"/>
    </dxf>
    <dxf>
      <font>
        <b/>
      </font>
      <alignment horizontal="centerContinuous"/>
    </dxf>
    <dxf>
      <font>
        <b/>
      </font>
      <alignment horizontal="centerContinuous"/>
    </dxf>
    <dxf>
      <font>
        <b/>
      </font>
      <alignment horizontal="centerContinuous"/>
    </dxf>
    <dxf>
      <font>
        <b/>
      </font>
      <alignment horizontal="centerContinuous"/>
    </dxf>
    <dxf>
      <font>
        <b/>
      </font>
      <alignment horizontal="centerContinuous"/>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alignment horizontal="centerContinuous"/>
    </dxf>
    <dxf>
      <border>
        <left style="thin">
          <color indexed="64"/>
        </left>
        <bottom style="thin">
          <color indexed="64"/>
        </bottom>
      </border>
    </dxf>
    <dxf>
      <border>
        <right style="thin">
          <color indexed="64"/>
        </right>
        <top style="thin">
          <color indexed="64"/>
        </top>
      </border>
    </dxf>
    <dxf>
      <alignment horizontal="centerContinuous"/>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Continuous"/>
    </dxf>
    <dxf>
      <font>
        <b/>
      </font>
      <alignment horizontal="centerContinuous"/>
    </dxf>
    <dxf>
      <font>
        <b/>
      </font>
      <alignment horizontal="centerContinuous"/>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numFmt numFmtId="3" formatCode="#,##0"/>
    </dxf>
    <dxf>
      <numFmt numFmtId="3" formatCode="#,##0"/>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center"/>
    </dxf>
    <dxf>
      <alignment vertical="center"/>
    </dxf>
    <dxf>
      <font>
        <b/>
      </font>
      <alignment horizontal="centerContinuous"/>
    </dxf>
    <dxf>
      <font>
        <b/>
      </font>
      <alignment horizontal="centerContinuous"/>
    </dxf>
    <dxf>
      <font>
        <b/>
      </font>
      <alignment horizontal="centerContinuous"/>
    </dxf>
    <dxf>
      <font>
        <b/>
      </font>
      <alignment horizontal="centerContinuous"/>
    </dxf>
    <dxf>
      <font>
        <b/>
      </font>
      <alignment horizontal="centerContinuous"/>
    </dxf>
    <dxf>
      <font>
        <b/>
      </font>
      <alignment horizontal="centerContinuous"/>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ont>
        <b/>
      </font>
      <alignment horizontal="centerContinuous"/>
    </dxf>
    <dxf>
      <border>
        <left style="thin">
          <color indexed="64"/>
        </left>
        <bottom style="thin">
          <color indexed="64"/>
        </bottom>
      </border>
    </dxf>
    <dxf>
      <border>
        <right style="thin">
          <color indexed="64"/>
        </right>
        <top style="thin">
          <color indexed="64"/>
        </top>
      </border>
    </dxf>
    <dxf>
      <fill>
        <patternFill>
          <bgColor theme="0" tint="-0.24994659260841701"/>
        </patternFill>
      </fill>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right style="thin">
          <color indexed="64"/>
        </right>
        <top style="thin">
          <color indexed="64"/>
        </top>
      </border>
    </dxf>
    <dxf>
      <border>
        <left style="thin">
          <color indexed="64"/>
        </left>
        <bottom style="thin">
          <color indexed="64"/>
        </bottom>
      </border>
    </dxf>
    <dxf>
      <font>
        <b/>
      </font>
      <alignment horizontal="centerContinuous"/>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Continuous"/>
    </dxf>
    <dxf>
      <font>
        <b/>
      </font>
      <alignment horizontal="centerContinuous"/>
    </dxf>
    <dxf>
      <font>
        <b/>
      </font>
      <alignment horizontal="centerContinuous"/>
    </dxf>
    <dxf>
      <font>
        <b/>
      </font>
      <alignment horizontal="centerContinuous"/>
    </dxf>
    <dxf>
      <font>
        <b/>
      </font>
      <alignment horizontal="centerContinuous"/>
    </dxf>
    <dxf>
      <font>
        <b/>
      </font>
      <alignment horizontal="centerContinuous"/>
    </dxf>
    <dxf>
      <alignment vertical="center"/>
    </dxf>
    <dxf>
      <alignment horizontal="center"/>
    </dxf>
    <dxf>
      <alignment horizontal="left"/>
    </dxf>
    <dxf>
      <alignment horizontal="left"/>
    </dxf>
    <dxf>
      <alignment horizontal="left"/>
    </dxf>
    <dxf>
      <border>
        <right style="thin">
          <color indexed="64"/>
        </right>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vertical style="thin">
          <color indexed="64"/>
        </vertical>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bottom style="thin">
          <color indexed="64"/>
        </bottom>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alignment horizontal="centerContinuous"/>
    </dxf>
    <dxf>
      <border>
        <right style="thin">
          <color indexed="64"/>
        </right>
        <top style="thin">
          <color indexed="64"/>
        </top>
        <bottom style="thin">
          <color indexed="64"/>
        </bottom>
        <vertical style="thin">
          <color indexed="64"/>
        </vertical>
        <horizontal style="thin">
          <color indexed="64"/>
        </horizontal>
      </border>
    </dxf>
    <dxf>
      <alignment horizontal="centerContinuous"/>
    </dxf>
    <dxf>
      <border>
        <right style="thin">
          <color indexed="64"/>
        </right>
        <top style="thin">
          <color indexed="64"/>
        </top>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centerContinuous"/>
    </dxf>
    <dxf>
      <border>
        <right style="thin">
          <color indexed="64"/>
        </right>
        <top style="thin">
          <color indexed="64"/>
        </top>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numFmt numFmtId="3" formatCode="#,##0"/>
    </dxf>
    <dxf>
      <numFmt numFmtId="3" formatCode="#,##0"/>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Continuous"/>
    </dxf>
    <dxf>
      <font>
        <b/>
      </font>
      <alignment horizontal="centerContinuous"/>
    </dxf>
    <dxf>
      <font>
        <b/>
      </font>
      <alignment horizontal="centerContinuous"/>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Continuous"/>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30" formatCode="@"/>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30" formatCode="@"/>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numFmt numFmtId="30" formatCode="@"/>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numFmt numFmtId="30" formatCode="@"/>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numFmt numFmtId="30" formatCode="@"/>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30" formatCode="@"/>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numFmt numFmtId="30" formatCode="@"/>
      <fill>
        <patternFill patternType="solid">
          <fgColor theme="4" tint="0.79998168889431442"/>
          <bgColor theme="4" tint="0.79998168889431442"/>
        </patternFill>
      </fill>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numFmt numFmtId="30" formatCode="@"/>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numFmt numFmtId="164" formatCode="m/d/yyyy"/>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numFmt numFmtId="164" formatCode="m/d/yyyy"/>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6</xdr:col>
      <xdr:colOff>78105</xdr:colOff>
      <xdr:row>1</xdr:row>
      <xdr:rowOff>66675</xdr:rowOff>
    </xdr:from>
    <xdr:to>
      <xdr:col>6</xdr:col>
      <xdr:colOff>447675</xdr:colOff>
      <xdr:row>3</xdr:row>
      <xdr:rowOff>74197</xdr:rowOff>
    </xdr:to>
    <xdr:pic macro="[0]!selectFile">
      <xdr:nvPicPr>
        <xdr:cNvPr id="2" name="Graphic 1" descr="Open folder with solid fill">
          <a:extLst>
            <a:ext uri="{FF2B5EF4-FFF2-40B4-BE49-F238E27FC236}">
              <a16:creationId xmlns:a16="http://schemas.microsoft.com/office/drawing/2014/main" id="{4F9EC751-DC7B-4DED-87A8-8E2FE99517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812030" y="257175"/>
          <a:ext cx="369570" cy="388522"/>
        </a:xfrm>
        <a:prstGeom prst="rect">
          <a:avLst/>
        </a:prstGeom>
      </xdr:spPr>
    </xdr:pic>
    <xdr:clientData/>
  </xdr:twoCellAnchor>
  <xdr:twoCellAnchor editAs="oneCell">
    <xdr:from>
      <xdr:col>6</xdr:col>
      <xdr:colOff>581026</xdr:colOff>
      <xdr:row>1</xdr:row>
      <xdr:rowOff>66675</xdr:rowOff>
    </xdr:from>
    <xdr:to>
      <xdr:col>7</xdr:col>
      <xdr:colOff>447675</xdr:colOff>
      <xdr:row>3</xdr:row>
      <xdr:rowOff>133349</xdr:rowOff>
    </xdr:to>
    <xdr:pic macro="[0]!ImportTextFile">
      <xdr:nvPicPr>
        <xdr:cNvPr id="4" name="Graphic 3" descr="Badge Tick1 with solid fill">
          <a:extLst>
            <a:ext uri="{FF2B5EF4-FFF2-40B4-BE49-F238E27FC236}">
              <a16:creationId xmlns:a16="http://schemas.microsoft.com/office/drawing/2014/main" id="{979EAD45-A888-4835-B78B-1B28A1BC17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314951" y="257175"/>
          <a:ext cx="447674" cy="4476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533400</xdr:colOff>
      <xdr:row>0</xdr:row>
      <xdr:rowOff>36636</xdr:rowOff>
    </xdr:from>
    <xdr:to>
      <xdr:col>18</xdr:col>
      <xdr:colOff>417636</xdr:colOff>
      <xdr:row>1</xdr:row>
      <xdr:rowOff>348230</xdr:rowOff>
    </xdr:to>
    <xdr:pic>
      <xdr:nvPicPr>
        <xdr:cNvPr id="2" name="Picture 1" descr="RTA Logo">
          <a:extLst>
            <a:ext uri="{FF2B5EF4-FFF2-40B4-BE49-F238E27FC236}">
              <a16:creationId xmlns:a16="http://schemas.microsoft.com/office/drawing/2014/main" id="{803C27FC-B521-4495-A288-7C7155D9D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82575" y="36636"/>
          <a:ext cx="1713036" cy="616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57149</xdr:colOff>
      <xdr:row>0</xdr:row>
      <xdr:rowOff>19052</xdr:rowOff>
    </xdr:from>
    <xdr:to>
      <xdr:col>3</xdr:col>
      <xdr:colOff>1000125</xdr:colOff>
      <xdr:row>1</xdr:row>
      <xdr:rowOff>445772</xdr:rowOff>
    </xdr:to>
    <mc:AlternateContent xmlns:mc="http://schemas.openxmlformats.org/markup-compatibility/2006" xmlns:a14="http://schemas.microsoft.com/office/drawing/2010/main">
      <mc:Choice Requires="a14">
        <xdr:graphicFrame macro="">
          <xdr:nvGraphicFramePr>
            <xdr:cNvPr id="3" name="Home Depot">
              <a:extLst>
                <a:ext uri="{FF2B5EF4-FFF2-40B4-BE49-F238E27FC236}">
                  <a16:creationId xmlns:a16="http://schemas.microsoft.com/office/drawing/2014/main" id="{F34714D9-E041-4764-8357-A6D441AD0550}"/>
                </a:ext>
              </a:extLst>
            </xdr:cNvPr>
            <xdr:cNvGraphicFramePr/>
          </xdr:nvGraphicFramePr>
          <xdr:xfrm>
            <a:off x="0" y="0"/>
            <a:ext cx="0" cy="0"/>
          </xdr:xfrm>
          <a:graphic>
            <a:graphicData uri="http://schemas.microsoft.com/office/drawing/2010/slicer">
              <sle:slicer xmlns:sle="http://schemas.microsoft.com/office/drawing/2010/slicer" name="Home Depot"/>
            </a:graphicData>
          </a:graphic>
        </xdr:graphicFrame>
      </mc:Choice>
      <mc:Fallback xmlns="">
        <xdr:sp macro="" textlink="">
          <xdr:nvSpPr>
            <xdr:cNvPr id="0" name=""/>
            <xdr:cNvSpPr>
              <a:spLocks noTextEdit="1"/>
            </xdr:cNvSpPr>
          </xdr:nvSpPr>
          <xdr:spPr>
            <a:xfrm>
              <a:off x="57149" y="19052"/>
              <a:ext cx="6486526"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backer Jahir Hussain" refreshedDate="46084.479206597221" createdVersion="7" refreshedVersion="8" minRefreshableVersion="3" recordCount="1030" xr:uid="{99A89808-FD92-4BCD-8F67-A06FA7DAA2FE}">
  <cacheSource type="worksheet">
    <worksheetSource name="Table1"/>
  </cacheSource>
  <cacheFields count="28">
    <cacheField name="scud_date" numFmtId="14">
      <sharedItems containsSemiMixedTypes="0" containsNonDate="0" containsDate="1" containsString="0" minDate="2026-03-20T00:00:00" maxDate="2026-03-27T00:00:00"/>
    </cacheField>
    <cacheField name="bk_date_start" numFmtId="0">
      <sharedItems/>
    </cacheField>
    <cacheField name="Home Depot" numFmtId="0">
      <sharedItems containsBlank="1" count="14">
        <s v="Awir"/>
        <s v="Etisalat"/>
        <s v="GV"/>
        <s v="JebelAli"/>
        <s v="Khawanee"/>
        <s v="Qouz"/>
        <s v="Qusais"/>
        <s v="Ruwayyah"/>
        <m u="1"/>
        <s v="EXPOD" u="1"/>
        <s v="QouzEX" u="1"/>
        <s v="QusaisEX" u="1"/>
        <s v="EXPOSHTL" u="1"/>
        <s v="JebAliEX" u="1"/>
      </sharedItems>
    </cacheField>
    <cacheField name="rte_service_type" numFmtId="0">
      <sharedItems containsBlank="1" count="19">
        <s v="Urban"/>
        <s v="Express"/>
        <s v="Scenario"/>
        <s v="Feeder"/>
        <s v="On Hold"/>
        <s v="Seasonal Cost Sharing"/>
        <s v="Seasonal"/>
        <s v="Urban Cost Sharing"/>
        <s v="Intercity"/>
        <s v="Night"/>
        <s v="Rural (Fixed Fare)"/>
        <s v="Tourist" u="1"/>
        <s v="On Hold (UCS)" u="1"/>
        <m u="1"/>
        <s v="EXPO Rider Intercity" u="1"/>
        <s v="EXPO On Hold" u="1"/>
        <s v="EXPO People Mover" u="1"/>
        <s v="EXPO Parking Shuttle" u="1"/>
        <s v="EXPO Rider DXB" u="1"/>
      </sharedItems>
    </cacheField>
    <cacheField name="rte_identifier5" numFmtId="0">
      <sharedItems containsMixedTypes="1" containsNumber="1" containsInteger="1" minValue="5" maxValue="500" count="228">
        <n v="8"/>
        <n v="11"/>
        <s v="13B"/>
        <s v="13D"/>
        <n v="16"/>
        <n v="17"/>
        <s v="20A"/>
        <s v="20B"/>
        <n v="22"/>
        <n v="24"/>
        <n v="31"/>
        <n v="310"/>
        <n v="320"/>
        <s v="36A"/>
        <s v="36B"/>
        <n v="43"/>
        <n v="44"/>
        <n v="50"/>
        <n v="53"/>
        <n v="55"/>
        <n v="64"/>
        <n v="77"/>
        <n v="88"/>
        <s v="C01"/>
        <s v="C09"/>
        <s v="C10"/>
        <s v="C15"/>
        <s v="C18"/>
        <s v="EMT1"/>
        <s v="F01"/>
        <s v="F03"/>
        <s v="F04"/>
        <s v="F05"/>
        <s v="F06"/>
        <s v="F10"/>
        <s v="F22"/>
        <s v="F24"/>
        <s v="F39"/>
        <s v="F40"/>
        <s v="F60"/>
        <s v="F61"/>
        <s v="F62"/>
        <s v="F63"/>
        <s v="F70"/>
        <s v="X25"/>
        <s v="X64"/>
        <s v="C03"/>
        <s v="X23"/>
        <s v="E333"/>
        <s v="F07"/>
        <s v="F02"/>
        <n v="102"/>
        <n v="103"/>
        <n v="104"/>
        <n v="106"/>
        <n v="107"/>
        <n v="108"/>
        <n v="56"/>
        <n v="83"/>
        <n v="84"/>
        <s v="95A"/>
        <n v="96"/>
        <n v="99"/>
        <s v="DA2"/>
        <s v="DPR1"/>
        <s v="DS1"/>
        <s v="E101"/>
        <s v="F31"/>
        <s v="F34"/>
        <s v="F38"/>
        <s v="F43"/>
        <s v="F44"/>
        <s v="F45"/>
        <s v="F46"/>
        <s v="F47"/>
        <s v="F48"/>
        <s v="F49"/>
        <s v="F50"/>
        <s v="F51"/>
        <s v="F53"/>
        <s v="F54"/>
        <s v="F55"/>
        <s v="F57"/>
        <s v="F58"/>
        <s v="F59"/>
        <s v="J02"/>
        <s v="J03"/>
        <s v="J04"/>
        <s v="J05"/>
        <s v="JLT1"/>
        <s v="JLT2"/>
        <s v="N55"/>
        <s v="X91"/>
        <s v="X92"/>
        <n v="97"/>
        <s v="X94"/>
        <n v="5"/>
        <n v="10"/>
        <s v="13A"/>
        <n v="27"/>
        <s v="32C"/>
        <n v="33"/>
        <n v="34"/>
        <s v="C04"/>
        <s v="C26"/>
        <s v="C28"/>
        <s v="E303"/>
        <s v="E307A"/>
        <s v="E308"/>
        <s v="E400"/>
        <s v="F08"/>
        <s v="F21"/>
        <s v="F23"/>
        <s v="F23A"/>
        <s v="F81"/>
        <s v="X13"/>
        <s v="X22"/>
        <s v="X28"/>
        <s v="C05"/>
        <s v="E307"/>
        <n v="7"/>
        <n v="9"/>
        <n v="105"/>
        <n v="110"/>
        <n v="12"/>
        <n v="14"/>
        <n v="15"/>
        <s v="21A"/>
        <s v="21B"/>
        <n v="23"/>
        <n v="28"/>
        <n v="29"/>
        <n v="51"/>
        <n v="61"/>
        <s v="63E"/>
        <n v="81"/>
        <s v="88A"/>
        <s v="88B"/>
        <n v="91"/>
        <n v="93"/>
        <s v="93A"/>
        <s v="93B"/>
        <s v="98E"/>
        <s v="DH1"/>
        <s v="F09"/>
        <s v="F13"/>
        <s v="F14"/>
        <s v="F15"/>
        <s v="F16"/>
        <s v="F20"/>
        <s v="F26"/>
        <s v="F26A"/>
        <s v="F27"/>
        <s v="F29"/>
        <s v="F30"/>
        <s v="F32"/>
        <s v="F33"/>
        <s v="F35"/>
        <s v="F36"/>
        <s v="F37"/>
        <s v="F41"/>
        <s v="J01"/>
        <s v="SH1"/>
        <s v="F18"/>
        <n v="6"/>
        <n v="18"/>
        <n v="19"/>
        <n v="25"/>
        <s v="62A"/>
        <s v="62B"/>
        <s v="E100"/>
        <s v="E102"/>
        <s v="E16"/>
        <s v="E201"/>
        <s v="E306"/>
        <s v="E309"/>
        <s v="E315"/>
        <s v="E411"/>
        <s v="E700"/>
        <s v="H01"/>
        <s v="H02"/>
        <s v="H03"/>
        <s v="H04"/>
        <s v="N30"/>
        <s v="T10"/>
        <s v="W20"/>
        <n v="26"/>
        <n v="30"/>
        <n v="66"/>
        <n v="67"/>
        <n v="68"/>
        <s v="D03"/>
        <s v="F11"/>
        <s v="F12"/>
        <s v="F17"/>
        <s v="F19A"/>
        <s v="F19B"/>
        <s v="F25"/>
        <s v="F28"/>
        <s v="X02"/>
        <n v="13" u="1"/>
        <n v="95" u="1"/>
        <n v="62" u="1"/>
        <n v="21" u="1"/>
        <n v="297" u="1"/>
        <n v="296" u="1"/>
        <n v="295" u="1"/>
        <n v="294" u="1"/>
        <n v="293" u="1"/>
        <n v="221" u="1"/>
        <n v="292" u="1"/>
        <n v="291" u="1"/>
        <n v="500" u="1"/>
        <n v="191" u="1"/>
        <n v="392" u="1"/>
        <n v="391" u="1"/>
        <n v="132" u="1"/>
        <n v="131" u="1"/>
        <n v="271" u="1"/>
        <n v="152" u="1"/>
        <n v="367" u="1"/>
        <n v="313" u="1"/>
        <n v="151" u="1"/>
        <n v="312" u="1"/>
        <n v="311" u="1"/>
        <n v="20" u="1"/>
        <n v="171" u="1"/>
        <n v="298" u="1"/>
      </sharedItems>
    </cacheField>
    <cacheField name="rte_long_name" numFmtId="0">
      <sharedItems containsBlank="1" count="304">
        <s v="Al Baraha Bus Stn  - Ibn Battuta MS"/>
        <s v="Al Rashidiya Bus Stn - Al Awir Immigration"/>
        <s v="Gold Souq Bus Stn - Al Qusais Bus Stn"/>
        <s v="Rashidiya MS - Awir CMC"/>
        <s v="Baniyas Square MS - Muhaisnah 4, Wasl Oasis 2"/>
        <s v="Al Nahda 1, Terminus 2 - Al Warsan 3"/>
        <s v="Al Warsan 3 - Al Nahda 1, Terminus 2"/>
        <s v="Deira City Center Bus Stn - Al Nahda 1"/>
        <s v="Al Nahda 2 - Dubai Festival City"/>
        <s v="Dubai Outsource City RBS - Silicon Oasis"/>
        <s v="Al Rashidiya Bus Stn - International City"/>
        <s v="Al Rashidiya Bus Stn - Academic City"/>
        <s v="Silicon Oasis - Etisalat MS"/>
        <s v="Etisalat MS - Silicon Oasis"/>
        <s v="Gold Souq Bus Stn - Al Qusais Ind'l Area 2"/>
        <s v="Al Ghubaiba Bus Stn - Al Rashidiya Bus Stn"/>
        <s v="Int'l City Bus Stn - Business Bay 2 Bus Stn"/>
        <s v="Gold Souq Bus Stn - Int'l City Bus Stn"/>
        <s v="Al Satwa Bus Stn - International City"/>
        <s v="Gold Souq Bus Stn - Ras Al Khor"/>
        <s v="Baniyas MS - Al Garhoud"/>
        <s v="Deira City Center Bus Stn - Dubai Internet City MS"/>
        <s v="Airport Terminal 3 - Al Satwa Bus Stn"/>
        <s v="Al Satwa Bus Stn - Hor Al Anz East, Qiyadah MS"/>
        <s v="Hamriya Port, Control Tower - Mercato Shopping Mall"/>
        <s v="Hamriya Port, Control Tower - Deira City Center Bus Stn"/>
        <s v="Shaikh Rashid Colony - Oud Metha Bus Stn"/>
        <s v="Dubai Mall MS - Onpassive MS"/>
        <s v="Union Bus Stn - Al Baraha"/>
        <s v="Al Rashidiya Bus Stn - Mirdiff West"/>
        <s v="Al Garhoud MS - Sabkha, Turnoff"/>
        <s v="Al Rashidiya Bus Stn - Mizhar 1"/>
        <s v="Al Rashidiya Bus Stn - Al Rashidiya"/>
        <s v="Al Rashidiya Bus Stn - Dubai Safari Park"/>
        <s v="Stadium Bus Stn - Qusais Ind'l Area 4"/>
        <s v="Stadium Bus Stn - Qusais Ind'l area 3"/>
        <s v="Etisalat Bus Station - Oud Al Mateena"/>
        <s v="Etisalat Bus Station - Mirdiff"/>
        <s v="Al Rashidiya Bus Stn - Downtown Mirdiff Gate"/>
        <s v="Al Rashidiya Bus Stn - Al Warqa'a"/>
        <s v="Nadd Al Hamar - Emirates MS"/>
        <s v="Union Bus Station - Al Ras MS"/>
        <s v="Oud Metha Bus Stn - Dubai Museum"/>
        <s v="Al Karama Bus Stn - Silicon Oasis"/>
        <s v="Al Baraha Bus Stn - Ras Al Khor"/>
        <s v="Al Karama Bus Stn - Abu Hail MS"/>
        <s v="Al Ghubaiba Bus Stn - Int'l City Bus Stn"/>
        <s v="Etisalat Bus Stn - Sharjah International Airport"/>
        <s v="Etisalat MS -  Al Qusais DM Housing"/>
        <s v="Etisalat MS - Al Muhaisnah 4"/>
        <s v="Al Rashidiya Bus Stn - Global Village"/>
        <s v="Union Bus Stn - Global Village"/>
        <s v="Al Ghubaiba Bus Stn - Global Village"/>
        <s v="MOE MS - Global Village"/>
        <s v="Al Nahda 1, Terminus 2 - Global Village"/>
        <s v="Al Satwa Bus Stn - Global Village"/>
        <s v="Danube Metro Stn - DWC, Staff Village"/>
        <s v="Al Ghubaiba Bus Stn - Al Fardan Exchange MS"/>
        <s v="Al Khail Gate - Jumeirah Beach Residence Station"/>
        <s v="Jebel Ali Waterfront, Veneto - Parco Hypermarket"/>
        <s v="Al Quoz Bus Stn - DIP"/>
        <s v="Jebel Ali Bus Stn - Life Pharmacy MS"/>
        <s v="Dubai Studio City - Damac Hills 2"/>
        <s v="Ibn Battuta MS - Dubai Parks and Resorts"/>
        <s v="Expo 2020 MS - Dubai South"/>
        <s v="Ibn Battuta  MS - Abu Dhabi, Central Bus Stn"/>
        <s v="Dubai Internet City MS - The Meadows East"/>
        <s v="DIC MS - Dubai Production City"/>
        <s v="Jumeirah Golf Estate MS - Dubai Sports City"/>
        <s v="Ibn Battuta MS - Discovery Gardens"/>
        <s v="Energy MS - Jebel Ali Gardens"/>
        <s v="Al Furjan - Discovery Gardens"/>
        <s v="Ibn Battuta MS - DIP 2"/>
        <s v="Danube MS - DIP MS"/>
        <s v="Danube MS - DIP 2"/>
        <s v="Danube MS - Jebel Ali Industrial Area"/>
        <s v="DIP MS - DIP 2"/>
        <s v="DIP MS - DIP 1"/>
        <s v="Danube MS - Dubai Ind'l City"/>
        <s v="Danube MS - JAFZA South"/>
        <s v="Expo 2020 MS - AMI Airport (PTB)"/>
        <s v="National Paints MS - Bluewaters Island"/>
        <s v="Al Fardan Exchange MS - Dubai Internet City"/>
        <s v="Dubai Internet City MS - Dubai Knowledge Village"/>
        <s v="IMPZ - Mira"/>
        <s v="Dubai Studio City - Damac Hills"/>
        <s v="Dubai Studio City - Remraam"/>
        <s v="Dubai Studio City - Mira"/>
        <s v="Sobha Realty MS - JLT, Damas"/>
        <s v="DMCC MS - JLT, Silver Tower"/>
        <s v="Al Ghubaiba Bus Stn - AMI Airport (PTB)"/>
        <s v="Al Ghubaiba Bus Station - Jebel Ali, Bus Station"/>
        <s v="Al Ghubaiba Bus Stn - Parco Hypermarket"/>
        <s v="Al Qusais Bus Stn - Jebel Ali Ind'l Area 7"/>
        <s v="Gold Souq Bus Stn - Dubai Investment Park"/>
        <s v="Abu Hail MS - Union Bus Stn"/>
        <s v="Gold Souq Bus Stn - Al Quoz Bus Stn"/>
        <s v="Gold Souq Bus Stn - Dubai Mall"/>
        <s v="Al Qusais Bus Stn - Al Satwa Bus Stn"/>
        <s v="Al Karama Bus Stn - Al Qusais Bus Stn"/>
        <s v="Etisalat MS - Al Khawaneej 2"/>
        <s v="Gold Souq Bus Stn - Creek MS"/>
        <s v="Al Wasl Park - Qusais Ind'l Area"/>
        <s v="Al Baraha Bus Stn - Mamzar Beach Park"/>
        <s v="Union Bus Stn - Al Jubail Bus Stn"/>
        <s v="Abu Hail MS - Al Jubail Bus Stn"/>
        <s v="Stadium Bus Stn - Sharjah, Al Jubail Bus Stn"/>
        <s v="Union Bus Stn - Ajman Bus Stn"/>
        <s v="Dubai Festival City - Al Nahda 2"/>
        <s v="Al Nahda MS - Al Nahda 2"/>
        <s v="Stadium Bus Stn - Al Nahda Terminus"/>
        <s v="Stadium Bus Stn - Al Nahda 1, Terminus 2"/>
        <s v="Al Qusais Ind'l Area Terminus 1 - Al Nahda MS"/>
        <s v="LuLu Village - Al Satwa Bus Stn"/>
        <s v="Al Qusais Ind'l Area 2 - Business Bay MS"/>
        <s v="Lulu Village - First Avenue Mall"/>
        <s v="Gold Souq Bus Stn - Al Ghubaiba Bus Stn"/>
        <s v="Deira City Center Bus Stn - Al Jubail Bus Stn"/>
        <s v="Al Quoz, Bus Stn -  Al Satwa Bus Stn"/>
        <s v="Al Ghubaiba Bus Stn - Business Bay MS"/>
        <s v="MOE MS - Miracle Garden"/>
        <s v="Onpassive MS - Al Quoz Creative"/>
        <s v="Al Ghubaiba Bus Stn - Al Quoz Bus Stn"/>
        <s v="Oud Metha Bus Stn - Business Bay MS"/>
        <s v="Al Ghubaiba Bus Stn - Al Khail Gate"/>
        <s v="Al Quoz Bus Stn - Al Ghubaiba Bus Stn"/>
        <s v="Oud Metha Bus Stn - Al Nahda 1"/>
        <s v="Dubai Mall - Oud Metha Bus Stn"/>
        <s v="Al Ghubaiba Bus Stn - Dubai Mall"/>
        <s v="Al Khail Gate - Business Bay MS"/>
        <s v="Al Ghubaiba Bus Stn - Ras Al Khor Samari Residence"/>
        <s v="Al Qusais Bus Stn - Al Quoz Bus Stn"/>
        <s v="Dubai Mall - MOEMS"/>
        <s v="Al Satwa Bus Stn - Jumeirah 3"/>
        <s v="Jumeirah 3 - Al Satwa Bus Stn"/>
        <s v="Al Ghubaiba Bus Stn - MOE MS"/>
        <s v="Al Satwa Bus Stn - Al Wasl Road 5"/>
        <s v="Al Wasl Road 5 - Al Satwa Bus Stn"/>
        <s v="Al Quoz Bus Stn - Al Satwa"/>
        <s v="Equiti MS - Dubai Hills"/>
        <s v="Al Jafiliya Bus Stn (Dubai Frame) - Al Wasl Park"/>
        <s v="Dubai Mall MS - The Dubai Mall"/>
        <s v="Business Bay 2 Bus Stn - Business Bay MS"/>
        <s v="Onpassive Bus Terminus - Al Qouz Ind'l Area 2"/>
        <s v="Onpassive Bus Terminus - Al Qouz, New Housing"/>
        <s v="Business Bay MS - Al Safa 1"/>
        <s v="Onpassive MS - Equiti MS"/>
        <s v="Onpassive Bus Terminus - Al Qouz Ind'l Area 4"/>
        <s v="Al Jafiliya Bus Stn - Al Satwa"/>
        <s v="Equiti MS - Al Wasl"/>
        <s v="MOE MS - Dubai Studio City"/>
        <s v="MOE MS - The Sustainable City"/>
        <s v="MOE MS - Al Barsha-3"/>
        <s v="MOE MS - The Greens"/>
        <s v="MOE MS - Arjan"/>
        <s v="MOE MS - Sports City"/>
        <s v="Business Bay MS - Coral Tower"/>
        <s v="MOE MS - Jumeirah Village Circle"/>
        <s v="Dubai Mall MS - Sobha Hartland"/>
        <s v="Oud Metha MS - Lamcy Plaza"/>
        <s v="Oud Metha MS - Wafi Residences"/>
        <s v="Al Nahda 1 - Muhaisnah 4"/>
        <s v="Al Nahda 1 - Stadium Bus Stn"/>
        <s v="Rashidiya MS - Gold Souq Bus Stn"/>
        <s v="Al Qusais Industrial Area 5 - Al Qusais MS"/>
        <s v="Al Qusais MS - Ras Al Khor, Samari Residency"/>
        <s v="Al Ghubaiba Bus Stn - Abu Dhabi CBS"/>
        <s v="Al Jafiliya Bus Stn - Mussafa Shabia Bus Stn"/>
        <s v="Union Bus Stn - Hatta Bus Stn"/>
        <s v="Al Ghubaiba Bus Stn - Al Ain Bus Stn"/>
        <s v="Ghubaiba Bus Stn - Al Jubail Bus Stn"/>
        <s v="Stadium Bus Stn - Sharjah, Al Qasba"/>
        <s v="Etisalat MS - Muwailah Bus Stn"/>
        <s v="Etisalat MS - Ajman Bus Stn"/>
        <s v="Etisalat Bus Stn - Fujairah Bus Stn"/>
        <s v="Dubai Mall - Hatta Bus Stn"/>
        <s v="Hatta Bus Stn - Masfut, Sheikh Khalifa Hospital"/>
        <s v="Hatta - Hop on hop off"/>
        <s v="Int'l City Bus Stn - Airport Terminal 2"/>
        <s v="Dubai Mall - City Walk"/>
        <s v="Stadium Bus Stn - Al Mamzar Beach Park"/>
        <s v="Oud Metha Bus Stn - Business Bay 2 Bus Stn"/>
        <s v="Dubai Mall MS - Dubai Sky Courts"/>
        <s v="Al Ghubaiba Bus Stn - Al Faqa"/>
        <s v="Al Ghubaiba Bus Stn - Dubai Endurance City"/>
        <s v="Lehbab First Park - Al Lisaily"/>
        <s v="Dubai Mall MS - Dubai Design District"/>
        <s v="Financial Center MS - Al Satwa"/>
        <s v="Max MS - Mankhool"/>
        <s v="Onpassive Bus Terminus - Al Khail Gate"/>
        <s v="Bay Square - Business Bay 2 Bus Stn"/>
        <s v="Business Bay 2 Bus Stn - Bay Square"/>
        <s v="Equiti MS - Al Qouz Ind'l Area 3 &amp; 4"/>
        <s v="Emirates Tower MS - Satwa"/>
        <s v="Union Bus Stn - Al Satwa"/>
        <s v="Gold Souq Bus Stn - Al Qusais DM Housing" u="1"/>
        <s v="Al Sabkha Bus Stn - Muhaisnah 4, Wasl Oasis 2" u="1"/>
        <s v="Airport Terminal 2 - Oud Al Mateena" u="1"/>
        <s v="Baniyas MS - Al Garhoud, RTA HQ" u="1"/>
        <s v="Al Ghubaiba Bus Stn - Jebel Ali Bus Stn" u="1"/>
        <s v="Gold Souq Bus Stn - Jebel Ali Bus Stn" u="1"/>
        <s v="GGICO MS - Sabkha, Turnoff" u="1"/>
        <s v="Stadium MS - Qusais Ind'l Area 4" u="1"/>
        <s v="Stadium MS - Al Nahda Terminus" u="1"/>
        <s v="Stadium MS - Al Nahda 1, Terminus 2" u="1"/>
        <s v="Stadium MS - Qusais Ind'l area 3" u="1"/>
        <s v="Nadd Al Hamar - Umm Ramool" u="1"/>
        <s v="Gold Souq Bus Stn - Souq Al Marfa Deira" u="1"/>
        <s v="Al Ghubaiba Bus Stn - International City" u="1"/>
        <s v="Al Karama Bus Stn - Silicon Oasis HQ" u="1"/>
        <s v="Al Ghubaiba Bus Stn - Al Khail MS" u="1"/>
        <s v="Ibn Battuta MS - Jebel Ali Waterfront Labour Camp" u="1"/>
        <s v="Jebel Ali Bus Stn - UAE Exchange MS" u="1"/>
        <s v="Mashreq MS - Damac Hills 2" u="1"/>
        <s v="DIC MS - Al Khail MS" u="1"/>
        <s v="Jebel Ali MS - Bluewaters Island" u="1"/>
        <s v="Ibn Battuta MS - MOE MS" u="1"/>
        <s v="Al Ghubaiba Bus Stn - Dubai Investment Park" u="1"/>
        <s v="UAE Exchange MS - Yiwu Market" u="1"/>
        <s v="Al Baraha Bus Stn - Jebel Ali Waterfront Labour Ca" u="1"/>
        <s v="Al Ghubaiba Bus Stn - Al Qusais Bus Stn" u="1"/>
        <s v="Al Qusais Ind'l Area 5 - Ras Al Khor Vegetable Market" u="1"/>
        <s v="LuLu Village - Dubai Internet City MS" u="1"/>
        <s v="Al Quoz, Bus Stn -  Al Satwa" u="1"/>
        <s v="Onpassive Bus Terminus - Al Quoz Creative" u="1"/>
        <s v="Al Ghubaiba Bus Stn - Al Quoz Ind'l Area-4" u="1"/>
        <s v="Gold Souq Bus Stn - The Dubai Mall" u="1"/>
        <s v="Al Ghubaiba Bus Stn - The Dubai Mall" u="1"/>
        <s v="The Dubai Mall - MOEMS" u="1"/>
        <s v="Onpassive Bus Terminus - Umm Al Sheif MS" u="1"/>
        <s v="Oud Metha Bus Stn - Safa Terminus" u="1"/>
        <s v="Al Ghubaiba Bus Stn - Dubai Healthcare City" u="1"/>
        <s v="Al Nahda 1 - Al Qusais" u="1"/>
        <s v="Al Sabkha Bus Stn - Hatta Bus Stn" u="1"/>
        <s v="Union Bus Stn -  Fujairah Bus Stn" u="1"/>
        <s v="Stadium MS - Al Mamzar Beach Park" u="1"/>
        <s v="The Dubai Mall - Oud Metha Bus Stn" u="1"/>
        <s v="Al Ghubaiba Bus Stn - Nad Al Shiba Clinic" u="1"/>
        <s v="Gold Souq Bus Stn - Jaddaf" u="1"/>
        <s v="Max MS - Al Wasl Park" u="1"/>
        <s v="Umm Al Sheif MS - Al Qouz Ind'l Area 3 &amp; 4" u="1"/>
        <m u="1"/>
        <s v="Al Rashidiya Bus Stn - Al Warqa" u="1"/>
        <s v="Opportunity Expo Rider- Palm Jumeirah Monorail Stn" u="1"/>
        <s v="Opportunity EXPO Rider Gate - Al Jubail Bus Station" u="1"/>
        <s v="Al Safa MS - Al Khail Gate" u="1"/>
        <s v="Union MS - Global Village" u="1"/>
        <s v="Abu Hail MS - Union Square Bus Stn" u="1"/>
        <s v="Union Square MS - Al Jubail Bus Stn" u="1"/>
        <s v="Al Satwa Bus Stn - Al Jubail Bus Stn" u="1"/>
        <s v="Al Safa MS - Umm Al Sheif MS" u="1"/>
        <s v="Mobility EXPO Rider Gate - Abu Dhabi, Central Bus Stn" u="1"/>
        <s v="Al Rashidiya Bus Stn - Hatta Bus Stn" u="1"/>
        <s v="Al Jafiliya Bus Stn - Sobha Hartland" u="1"/>
        <s v="Sustainability Parking" u="1"/>
        <s v="Al Ahli Club - Sharjah, Al Taawun Terminus" u="1"/>
        <s v="Al Safa MS - Al Serkal Avenue" u="1"/>
        <s v="Sustainability EXPO Rider Gate - Al Ain Central Bus Station" u="1"/>
        <s v="Al Sabkha Bus Stn - Al Jubail Bus Stn" u="1"/>
        <s v="Union Square MS - Ajman Bus Stn" u="1"/>
        <s v="World Parking" u="1"/>
        <s v="Sustainability Expo Rider - Fujairah City Centre" u="1"/>
        <s v="Opportunity Expo Rider Gate -Ajman - Umm Al Quwain" u="1"/>
        <s v="Opportunity Gate" u="1"/>
        <s v="Sustainability Red Route" u="1"/>
        <s v="Staff Shuttle" u="1"/>
        <s v="Al Rashidiya Bus Stn - Sharjah University" u="1"/>
        <s v="Mobility Parking" u="1"/>
        <s v="Mobility EXPO Rider Gate - Abu Dhabi Marina Mall" u="1"/>
        <s v="Al Sabkha Bus Stn - Muhaisnah 4, Wasl Oasis II" u="1"/>
        <s v="Int'l City Dragon Martt 2 - Al Khail Gate 1" u="1"/>
        <s v="Ibn Battuta MS - Mussafa Shabia Bus Stn" u="1"/>
        <s v="Al Ghubaiba Bus Stn - DMC District" u="1"/>
        <s v="Sustainability Expo Rider - The Dubai Mall" u="1"/>
        <s v="Gold Souq Bus Stn - International City" u="1"/>
        <s v="Mobility Gate" u="1"/>
        <s v="Mobility EXPO Rider Gate - AbuDhabi, YAS Mall" u="1"/>
        <s v="Sustainability Expo Rider- Int'l City" u="1"/>
        <s v="People Mover - 2020 South Plaza" u="1"/>
        <s v="Al Nahda 2 - International City" u="1"/>
        <s v="Mobility Expo Rider- Airport Terminal 3" u="1"/>
        <s v="Gold Souq Bus Stn - Al Awir Immigration" u="1"/>
        <s v="Al Safa MS - Al Qouz, New Housing" u="1"/>
        <s v="Sustainability Expo Rider - Global Village" u="1"/>
        <s v="Union MS - Al Baraha" u="1"/>
        <s v="Opportunity Expo Rider Gate -Ajman - Ras Al Khaimah" u="1"/>
        <s v="Opportunity Blue Route" u="1"/>
        <s v="Sustainability Expo Rider - Al Baraha Bus stn" u="1"/>
        <s v="Union Square MS -  Fujairah Bus Stn" u="1"/>
        <s v="Opportunity EXPO Rider Gate - Al Muwailah Bus Terminus" u="1"/>
        <s v="Sustainability Expo Rider- Al Ghubaiba Bus Stn" u="1"/>
        <s v="Gold Souq Bus Stn - Ras Al Khor Samari Residence" u="1"/>
        <s v="Sustainability Expo Rider- DSO Expo Stn" u="1"/>
        <s v="Sustainability Gate" u="1"/>
        <s v="Ibn Battuta MS - AMI Airport (PTB)" u="1"/>
        <s v="Mobility EXPO Rider Gate - Abu Dhabi Airport" u="1"/>
        <s v="Mobility Expo Rider - Al Maktoum Int'l Airport" u="1"/>
        <s v="Mobility EXPO Rider Gate - Abu Dhabi City, Al Zahiyah Bus Terminal" u="1"/>
        <s v="Dragon Mart 2 Terminus - Airport Terminal 2" u="1"/>
        <s v="Sustainability Expo Rider - Etisalat MS Stn" u="1"/>
        <s v="Union MS - Al Satwa" u="1"/>
        <s v="Mobility Yellow Route" u="1"/>
        <s v="Opportunity Parking" u="1"/>
        <s v="Al Safa MS - Al Qouz Ind'l Area 2" u="1"/>
      </sharedItems>
    </cacheField>
    <cacheField name="rte_depot" numFmtId="0">
      <sharedItems containsBlank="1" count="18">
        <s v="AAD"/>
        <s v="EMBD"/>
        <s v="AQDI"/>
        <s v="AQZD"/>
        <s v="JAD"/>
        <s v="AKD"/>
        <s v="AQD"/>
        <s v="ARD"/>
        <s v="JWSG" u="1"/>
        <m u="1"/>
        <s v="EXPOD" u="1"/>
        <s v="MPMTG" u="1"/>
        <s v="GBD" u="1"/>
        <s v="AGMTG" u="1"/>
        <s v="MMWBG" u="1"/>
        <s v="HD" u="1"/>
        <s v="AFMTG" u="1"/>
        <s v="ADH" u="1"/>
      </sharedItems>
    </cacheField>
    <cacheField name="rte_depot_Name" numFmtId="0">
      <sharedItems containsBlank="1" count="13">
        <s v="Al Awir Depot"/>
        <s v="Etisalat Mini Depot"/>
        <s v="Al Qusais Depot"/>
        <s v="Al Quoz Depot"/>
        <s v="Jebel Ali Depot"/>
        <s v="Al Khawaneej Depot"/>
        <s v="Al Ruwayyah Depot"/>
        <m u="1"/>
        <s v="Intercity-Al Ghubaiba Depot" u="1"/>
        <s v="EXPO Depot" u="1"/>
        <s v="Etisalat Depot" u="1"/>
        <s v="Hatta Depot" u="1"/>
        <s v="Abu Dhabi Depot" u="1"/>
      </sharedItems>
    </cacheField>
    <cacheField name="rte_depot_abbr" numFmtId="0">
      <sharedItems containsBlank="1"/>
    </cacheField>
    <cacheField name="rte_veh_type" numFmtId="0">
      <sharedItems containsBlank="1" count="12">
        <s v="STD"/>
        <s v="MIDI"/>
        <s v="ARTI"/>
        <s v="DBLD"/>
        <s v="COAC"/>
        <s v="STDV"/>
        <s v="FR" u="1"/>
        <m u="1"/>
        <s v="HABR" u="1"/>
        <s v="WB" u="1"/>
        <s v="ACA" u="1"/>
        <s v="ABRA" u="1"/>
      </sharedItems>
    </cacheField>
    <cacheField name="sched_type" numFmtId="0">
      <sharedItems containsBlank="1" count="14">
        <s v="Friday"/>
        <s v="Saturday"/>
        <s v="Sunday"/>
        <s v="M-Tu-W-Th"/>
        <s v="Mon-Wed"/>
        <s v="Thursday"/>
        <s v="7-days" u="1"/>
        <m u="1"/>
        <s v="Sun-Thu" u="1"/>
        <s v="Tu-W-Th" u="1"/>
        <s v="Tue-Thu" u="1"/>
        <s v="Mon-Thu" u="1"/>
        <s v="Sun-Wed" u="1"/>
        <s v="Monday" u="1"/>
      </sharedItems>
    </cacheField>
    <cacheField name="csc_cscseqno" numFmtId="0">
      <sharedItems containsSemiMixedTypes="0" containsString="0" containsNumber="1" containsInteger="1" minValue="27439" maxValue="27480"/>
    </cacheField>
    <cacheField name="rev_trip_count" numFmtId="0">
      <sharedItems containsSemiMixedTypes="0" containsString="0" containsNumber="1" containsInteger="1" minValue="1" maxValue="219"/>
    </cacheField>
    <cacheField name="nrev_trip_count" numFmtId="0">
      <sharedItems containsSemiMixedTypes="0" containsString="0" containsNumber="1" containsInteger="1" minValue="1" maxValue="48"/>
    </cacheField>
    <cacheField name="rev_km" numFmtId="0">
      <sharedItems containsSemiMixedTypes="0" containsString="0" containsNumber="1" minValue="9.43" maxValue="16038.647999999999"/>
    </cacheField>
    <cacheField name="dh_km" numFmtId="0">
      <sharedItems containsSemiMixedTypes="0" containsString="0" containsNumber="1" minValue="0.2" maxValue="1129.4000000000001"/>
    </cacheField>
    <cacheField name="rte_frequency" numFmtId="0">
      <sharedItems containsSemiMixedTypes="0" containsString="0" containsNumber="1" containsInteger="1" minValue="0" maxValue="420"/>
    </cacheField>
    <cacheField name="rte_peak_req" numFmtId="0">
      <sharedItems containsSemiMixedTypes="0" containsString="0" containsNumber="1" containsInteger="1" minValue="0" maxValue="17"/>
    </cacheField>
    <cacheField name="dty_types" numFmtId="0">
      <sharedItems/>
    </cacheField>
    <cacheField name="dty_type_cnt1" numFmtId="0">
      <sharedItems containsSemiMixedTypes="0" containsString="0" containsNumber="1" containsInteger="1" minValue="0" maxValue="23"/>
    </cacheField>
    <cacheField name="dty_type_cnt2" numFmtId="0">
      <sharedItems containsSemiMixedTypes="0" containsString="0" containsNumber="1" containsInteger="1" minValue="0" maxValue="16"/>
    </cacheField>
    <cacheField name="dty_type_cnt3" numFmtId="0">
      <sharedItems containsSemiMixedTypes="0" containsString="0" containsNumber="1" containsInteger="1" minValue="0" maxValue="16"/>
    </cacheField>
    <cacheField name="dty_type_cnt4" numFmtId="0">
      <sharedItems containsSemiMixedTypes="0" containsString="0" containsNumber="1" containsInteger="1" minValue="0" maxValue="0"/>
    </cacheField>
    <cacheField name="dty_type_cnt5" numFmtId="0">
      <sharedItems containsSemiMixedTypes="0" containsString="0" containsNumber="1" containsInteger="1" minValue="0" maxValue="0"/>
    </cacheField>
    <cacheField name="Duty_CNT" numFmtId="0">
      <sharedItems containsSemiMixedTypes="0" containsString="0" containsNumber="1" containsInteger="1" minValue="0" maxValue="51"/>
    </cacheField>
    <cacheField name="Duty_CNT2" numFmtId="0" formula="dty_types+dty_type_cnt1+dty_type_cnt2+dty_type_cnt3+dty_type_cnt4+#NAME?" databaseField="0"/>
    <cacheField name="T_Trips" numFmtId="0" formula="rev_trip_count+nrev_trip_count" databaseField="0"/>
    <cacheField name="T_KM" numFmtId="0" formula="rev_km+dh_km" databaseField="0"/>
  </cacheFields>
  <extLst>
    <ext xmlns:x14="http://schemas.microsoft.com/office/spreadsheetml/2009/9/main" uri="{725AE2AE-9491-48be-B2B4-4EB974FC3084}">
      <x14:pivotCacheDefinition pivotCacheId="357363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0">
  <r>
    <d v="2026-03-20T00:00:00"/>
    <s v="20/03/2026"/>
    <x v="0"/>
    <x v="0"/>
    <x v="0"/>
    <x v="0"/>
    <x v="0"/>
    <x v="0"/>
    <s v="AAD"/>
    <x v="0"/>
    <x v="0"/>
    <n v="27478"/>
    <n v="32"/>
    <n v="8"/>
    <n v="1199.454"/>
    <n v="222.8"/>
    <n v="25"/>
    <n v="4"/>
    <s v="A|B|C"/>
    <n v="8"/>
    <n v="0"/>
    <n v="4"/>
    <n v="0"/>
    <n v="0"/>
    <n v="12"/>
  </r>
  <r>
    <d v="2026-03-20T00:00:00"/>
    <s v="20/03/2026"/>
    <x v="0"/>
    <x v="0"/>
    <x v="1"/>
    <x v="1"/>
    <x v="0"/>
    <x v="0"/>
    <s v="AAD"/>
    <x v="1"/>
    <x v="0"/>
    <n v="27478"/>
    <n v="65"/>
    <n v="16"/>
    <n v="1763.7439999999999"/>
    <n v="96.1"/>
    <n v="30"/>
    <n v="4"/>
    <s v="A|B|C"/>
    <n v="5"/>
    <n v="4"/>
    <n v="0"/>
    <n v="0"/>
    <n v="0"/>
    <n v="9"/>
  </r>
  <r>
    <d v="2026-03-20T00:00:00"/>
    <s v="20/03/2026"/>
    <x v="0"/>
    <x v="1"/>
    <x v="2"/>
    <x v="2"/>
    <x v="0"/>
    <x v="0"/>
    <s v="AAD"/>
    <x v="0"/>
    <x v="0"/>
    <n v="27478"/>
    <n v="10"/>
    <n v="2"/>
    <n v="222.76599999999999"/>
    <n v="65.900000000000006"/>
    <n v="25"/>
    <n v="1"/>
    <s v="A|B|C"/>
    <n v="1"/>
    <n v="1"/>
    <n v="1"/>
    <n v="0"/>
    <n v="0"/>
    <n v="3"/>
  </r>
  <r>
    <d v="2026-03-20T00:00:00"/>
    <s v="20/03/2026"/>
    <x v="0"/>
    <x v="0"/>
    <x v="3"/>
    <x v="2"/>
    <x v="0"/>
    <x v="0"/>
    <s v="AAD"/>
    <x v="2"/>
    <x v="0"/>
    <n v="27478"/>
    <n v="130"/>
    <n v="38"/>
    <n v="2221.4369999999999"/>
    <n v="711.82399999999996"/>
    <n v="15"/>
    <n v="14"/>
    <s v="A|B|C"/>
    <n v="12"/>
    <n v="13"/>
    <n v="2"/>
    <n v="0"/>
    <n v="0"/>
    <n v="27"/>
  </r>
  <r>
    <d v="2026-03-20T00:00:00"/>
    <s v="20/03/2026"/>
    <x v="0"/>
    <x v="0"/>
    <x v="4"/>
    <x v="3"/>
    <x v="0"/>
    <x v="0"/>
    <s v="AAD"/>
    <x v="1"/>
    <x v="0"/>
    <n v="27478"/>
    <n v="35"/>
    <n v="8"/>
    <n v="1072.6569999999999"/>
    <n v="92.5"/>
    <n v="55"/>
    <n v="2"/>
    <s v="A|B|C"/>
    <n v="4"/>
    <n v="2"/>
    <n v="0"/>
    <n v="0"/>
    <n v="0"/>
    <n v="6"/>
  </r>
  <r>
    <d v="2026-03-20T00:00:00"/>
    <s v="20/03/2026"/>
    <x v="0"/>
    <x v="0"/>
    <x v="5"/>
    <x v="4"/>
    <x v="0"/>
    <x v="0"/>
    <s v="AAD"/>
    <x v="1"/>
    <x v="0"/>
    <n v="27478"/>
    <n v="68"/>
    <n v="16"/>
    <n v="1671.5889999999999"/>
    <n v="385"/>
    <n v="25"/>
    <n v="8"/>
    <s v="A|B|C"/>
    <n v="9"/>
    <n v="7"/>
    <n v="2"/>
    <n v="0"/>
    <n v="0"/>
    <n v="18"/>
  </r>
  <r>
    <d v="2026-03-20T00:00:00"/>
    <s v="20/03/2026"/>
    <x v="0"/>
    <x v="0"/>
    <x v="6"/>
    <x v="5"/>
    <x v="0"/>
    <x v="0"/>
    <s v="AAD"/>
    <x v="0"/>
    <x v="0"/>
    <n v="27478"/>
    <n v="36"/>
    <n v="15"/>
    <n v="1661.454"/>
    <n v="55.95"/>
    <n v="0"/>
    <n v="2"/>
    <s v="A|B|C"/>
    <n v="9"/>
    <n v="4"/>
    <n v="4"/>
    <n v="0"/>
    <n v="0"/>
    <n v="17"/>
  </r>
  <r>
    <d v="2026-03-20T00:00:00"/>
    <s v="20/03/2026"/>
    <x v="0"/>
    <x v="0"/>
    <x v="7"/>
    <x v="6"/>
    <x v="0"/>
    <x v="0"/>
    <s v="AAD"/>
    <x v="0"/>
    <x v="0"/>
    <n v="27478"/>
    <n v="37"/>
    <n v="17"/>
    <n v="1699.1179999999999"/>
    <n v="118.7"/>
    <n v="30"/>
    <n v="6"/>
    <s v="A|B|C"/>
    <n v="0"/>
    <n v="3"/>
    <n v="3"/>
    <n v="0"/>
    <n v="0"/>
    <n v="6"/>
  </r>
  <r>
    <d v="2026-03-20T00:00:00"/>
    <s v="20/03/2026"/>
    <x v="0"/>
    <x v="0"/>
    <x v="8"/>
    <x v="7"/>
    <x v="0"/>
    <x v="0"/>
    <s v="AAD"/>
    <x v="0"/>
    <x v="0"/>
    <n v="27478"/>
    <n v="50"/>
    <n v="12"/>
    <n v="733.25199999999995"/>
    <n v="208.16"/>
    <n v="15"/>
    <n v="4"/>
    <s v="A|B|C"/>
    <n v="4"/>
    <n v="3"/>
    <n v="1"/>
    <n v="0"/>
    <n v="0"/>
    <n v="8"/>
  </r>
  <r>
    <d v="2026-03-20T00:00:00"/>
    <s v="20/03/2026"/>
    <x v="0"/>
    <x v="0"/>
    <x v="9"/>
    <x v="8"/>
    <x v="0"/>
    <x v="0"/>
    <s v="AAD"/>
    <x v="2"/>
    <x v="0"/>
    <n v="27478"/>
    <n v="108"/>
    <n v="34"/>
    <n v="1986.9649999999999"/>
    <n v="578.45000000000005"/>
    <n v="15"/>
    <n v="10"/>
    <s v="A|B|C"/>
    <n v="10"/>
    <n v="9"/>
    <n v="0"/>
    <n v="0"/>
    <n v="0"/>
    <n v="19"/>
  </r>
  <r>
    <d v="2026-03-20T00:00:00"/>
    <s v="20/03/2026"/>
    <x v="0"/>
    <x v="0"/>
    <x v="10"/>
    <x v="9"/>
    <x v="0"/>
    <x v="0"/>
    <s v="AAD"/>
    <x v="1"/>
    <x v="0"/>
    <n v="27478"/>
    <n v="41"/>
    <n v="10"/>
    <n v="752.39099999999996"/>
    <n v="83.5"/>
    <n v="20"/>
    <n v="4"/>
    <s v="A|B|C"/>
    <n v="4"/>
    <n v="4"/>
    <n v="0"/>
    <n v="0"/>
    <n v="0"/>
    <n v="8"/>
  </r>
  <r>
    <d v="2026-03-20T00:00:00"/>
    <s v="20/03/2026"/>
    <x v="0"/>
    <x v="0"/>
    <x v="11"/>
    <x v="10"/>
    <x v="0"/>
    <x v="0"/>
    <s v="AAD"/>
    <x v="0"/>
    <x v="0"/>
    <n v="27478"/>
    <n v="124"/>
    <n v="34"/>
    <n v="3623.5889999999999"/>
    <n v="332.1"/>
    <n v="7"/>
    <n v="11"/>
    <s v="A|B|C"/>
    <n v="11"/>
    <n v="8"/>
    <n v="3"/>
    <n v="0"/>
    <n v="0"/>
    <n v="22"/>
  </r>
  <r>
    <d v="2026-03-20T00:00:00"/>
    <s v="20/03/2026"/>
    <x v="0"/>
    <x v="0"/>
    <x v="12"/>
    <x v="11"/>
    <x v="0"/>
    <x v="0"/>
    <s v="AAD"/>
    <x v="0"/>
    <x v="0"/>
    <n v="27478"/>
    <n v="102"/>
    <n v="34"/>
    <n v="3599.498"/>
    <n v="320.39999999999998"/>
    <n v="11"/>
    <n v="12"/>
    <s v="A|B|C"/>
    <n v="12"/>
    <n v="8"/>
    <n v="4"/>
    <n v="0"/>
    <n v="0"/>
    <n v="24"/>
  </r>
  <r>
    <d v="2026-03-20T00:00:00"/>
    <s v="20/03/2026"/>
    <x v="0"/>
    <x v="0"/>
    <x v="13"/>
    <x v="12"/>
    <x v="0"/>
    <x v="0"/>
    <s v="AAD"/>
    <x v="0"/>
    <x v="0"/>
    <n v="27478"/>
    <n v="45"/>
    <n v="11"/>
    <n v="2299.6350000000002"/>
    <n v="167.6"/>
    <n v="0"/>
    <n v="5"/>
    <s v="A|B|C"/>
    <n v="8"/>
    <n v="8"/>
    <n v="1"/>
    <n v="0"/>
    <n v="0"/>
    <n v="17"/>
  </r>
  <r>
    <d v="2026-03-20T00:00:00"/>
    <s v="20/03/2026"/>
    <x v="0"/>
    <x v="0"/>
    <x v="14"/>
    <x v="13"/>
    <x v="0"/>
    <x v="0"/>
    <s v="AAD"/>
    <x v="0"/>
    <x v="0"/>
    <n v="27478"/>
    <n v="47"/>
    <n v="15"/>
    <n v="2219.34"/>
    <n v="237"/>
    <n v="20"/>
    <n v="7"/>
    <s v="A|B|C"/>
    <n v="5"/>
    <n v="2"/>
    <n v="1"/>
    <n v="0"/>
    <n v="0"/>
    <n v="8"/>
  </r>
  <r>
    <d v="2026-03-20T00:00:00"/>
    <s v="20/03/2026"/>
    <x v="0"/>
    <x v="0"/>
    <x v="15"/>
    <x v="14"/>
    <x v="0"/>
    <x v="0"/>
    <s v="AAD"/>
    <x v="0"/>
    <x v="0"/>
    <n v="27478"/>
    <n v="20"/>
    <n v="4"/>
    <n v="330.60300000000001"/>
    <n v="131.80000000000001"/>
    <n v="30"/>
    <n v="2"/>
    <s v="A|B|C"/>
    <n v="2"/>
    <n v="2"/>
    <n v="0"/>
    <n v="0"/>
    <n v="0"/>
    <n v="4"/>
  </r>
  <r>
    <d v="2026-03-20T00:00:00"/>
    <s v="20/03/2026"/>
    <x v="0"/>
    <x v="0"/>
    <x v="16"/>
    <x v="15"/>
    <x v="0"/>
    <x v="0"/>
    <s v="AAD"/>
    <x v="0"/>
    <x v="0"/>
    <n v="27478"/>
    <n v="42"/>
    <n v="16"/>
    <n v="1341.6410000000001"/>
    <n v="130.9"/>
    <n v="30"/>
    <n v="5"/>
    <s v="A|B|C"/>
    <n v="6"/>
    <n v="2"/>
    <n v="3"/>
    <n v="0"/>
    <n v="0"/>
    <n v="11"/>
  </r>
  <r>
    <d v="2026-03-20T00:00:00"/>
    <s v="20/03/2026"/>
    <x v="0"/>
    <x v="0"/>
    <x v="17"/>
    <x v="16"/>
    <x v="0"/>
    <x v="0"/>
    <s v="AAD"/>
    <x v="0"/>
    <x v="0"/>
    <n v="27478"/>
    <n v="86"/>
    <n v="28"/>
    <n v="3368.56"/>
    <n v="393.65"/>
    <n v="20"/>
    <n v="11"/>
    <s v="A|B|C"/>
    <n v="11"/>
    <n v="10"/>
    <n v="3"/>
    <n v="0"/>
    <n v="0"/>
    <n v="24"/>
  </r>
  <r>
    <d v="2026-03-20T00:00:00"/>
    <s v="20/03/2026"/>
    <x v="0"/>
    <x v="0"/>
    <x v="18"/>
    <x v="17"/>
    <x v="0"/>
    <x v="0"/>
    <s v="AAD"/>
    <x v="0"/>
    <x v="0"/>
    <n v="27478"/>
    <n v="66"/>
    <n v="14"/>
    <n v="2181.5309999999999"/>
    <n v="264.89999999999998"/>
    <n v="20"/>
    <n v="7"/>
    <s v="A|B|C"/>
    <n v="7"/>
    <n v="6"/>
    <n v="2"/>
    <n v="0"/>
    <n v="0"/>
    <n v="15"/>
  </r>
  <r>
    <d v="2026-03-20T00:00:00"/>
    <s v="20/03/2026"/>
    <x v="0"/>
    <x v="0"/>
    <x v="19"/>
    <x v="18"/>
    <x v="0"/>
    <x v="0"/>
    <s v="AAD"/>
    <x v="0"/>
    <x v="0"/>
    <n v="27478"/>
    <n v="68"/>
    <n v="24"/>
    <n v="1802.325"/>
    <n v="281"/>
    <n v="20"/>
    <n v="9"/>
    <s v="A|B|C"/>
    <n v="8"/>
    <n v="4"/>
    <n v="5"/>
    <n v="0"/>
    <n v="0"/>
    <n v="17"/>
  </r>
  <r>
    <d v="2026-03-20T00:00:00"/>
    <s v="20/03/2026"/>
    <x v="0"/>
    <x v="0"/>
    <x v="20"/>
    <x v="19"/>
    <x v="0"/>
    <x v="0"/>
    <s v="AAD"/>
    <x v="3"/>
    <x v="0"/>
    <n v="27478"/>
    <n v="73"/>
    <n v="30"/>
    <n v="2413.9340000000002"/>
    <n v="605.66200000000003"/>
    <n v="20"/>
    <n v="11"/>
    <s v="A|B|C"/>
    <n v="11"/>
    <n v="8"/>
    <n v="2"/>
    <n v="0"/>
    <n v="0"/>
    <n v="21"/>
  </r>
  <r>
    <d v="2026-03-20T00:00:00"/>
    <s v="20/03/2026"/>
    <x v="0"/>
    <x v="0"/>
    <x v="21"/>
    <x v="20"/>
    <x v="0"/>
    <x v="0"/>
    <s v="AAD"/>
    <x v="0"/>
    <x v="0"/>
    <n v="27478"/>
    <n v="90"/>
    <n v="14"/>
    <n v="1100.925"/>
    <n v="287.89999999999998"/>
    <n v="20"/>
    <n v="6"/>
    <s v="A|B|C"/>
    <n v="6"/>
    <n v="5"/>
    <n v="1"/>
    <n v="0"/>
    <n v="0"/>
    <n v="12"/>
  </r>
  <r>
    <d v="2026-03-20T00:00:00"/>
    <s v="20/03/2026"/>
    <x v="0"/>
    <x v="0"/>
    <x v="22"/>
    <x v="21"/>
    <x v="0"/>
    <x v="0"/>
    <s v="AAD"/>
    <x v="0"/>
    <x v="0"/>
    <n v="27478"/>
    <n v="19"/>
    <n v="6"/>
    <n v="585.54300000000001"/>
    <n v="159.1"/>
    <n v="30"/>
    <n v="3"/>
    <s v="A|B|C"/>
    <n v="2"/>
    <n v="3"/>
    <n v="1"/>
    <n v="0"/>
    <n v="0"/>
    <n v="6"/>
  </r>
  <r>
    <d v="2026-03-20T00:00:00"/>
    <s v="20/03/2026"/>
    <x v="0"/>
    <x v="0"/>
    <x v="23"/>
    <x v="22"/>
    <x v="0"/>
    <x v="0"/>
    <s v="AAD"/>
    <x v="2"/>
    <x v="0"/>
    <n v="27478"/>
    <n v="76"/>
    <n v="12"/>
    <n v="1294.2929999999999"/>
    <n v="294"/>
    <n v="15"/>
    <n v="6"/>
    <s v="A|B|C"/>
    <n v="6"/>
    <n v="4"/>
    <n v="7"/>
    <n v="0"/>
    <n v="0"/>
    <n v="17"/>
  </r>
  <r>
    <d v="2026-03-20T00:00:00"/>
    <s v="20/03/2026"/>
    <x v="0"/>
    <x v="0"/>
    <x v="24"/>
    <x v="23"/>
    <x v="0"/>
    <x v="0"/>
    <s v="AAD"/>
    <x v="0"/>
    <x v="0"/>
    <n v="27478"/>
    <n v="30"/>
    <n v="6"/>
    <n v="676.54499999999996"/>
    <n v="158.6"/>
    <n v="30"/>
    <n v="3"/>
    <s v="A|B|C"/>
    <n v="3"/>
    <n v="2"/>
    <n v="2"/>
    <n v="0"/>
    <n v="0"/>
    <n v="7"/>
  </r>
  <r>
    <d v="2026-03-20T00:00:00"/>
    <s v="20/03/2026"/>
    <x v="0"/>
    <x v="0"/>
    <x v="25"/>
    <x v="24"/>
    <x v="0"/>
    <x v="0"/>
    <s v="AAD"/>
    <x v="0"/>
    <x v="0"/>
    <n v="27478"/>
    <n v="94"/>
    <n v="22"/>
    <n v="2231.5369999999998"/>
    <n v="624.75"/>
    <n v="15"/>
    <n v="11"/>
    <s v="A|B|C"/>
    <n v="11"/>
    <n v="7"/>
    <n v="4"/>
    <n v="0"/>
    <n v="0"/>
    <n v="22"/>
  </r>
  <r>
    <d v="2026-03-20T00:00:00"/>
    <s v="20/03/2026"/>
    <x v="0"/>
    <x v="0"/>
    <x v="26"/>
    <x v="25"/>
    <x v="0"/>
    <x v="0"/>
    <s v="AAD"/>
    <x v="1"/>
    <x v="0"/>
    <n v="27478"/>
    <n v="27"/>
    <n v="6"/>
    <n v="533.08799999999997"/>
    <n v="140.69999999999999"/>
    <n v="30"/>
    <n v="3"/>
    <s v="A|B|C"/>
    <n v="2"/>
    <n v="3"/>
    <n v="0"/>
    <n v="0"/>
    <n v="0"/>
    <n v="5"/>
  </r>
  <r>
    <d v="2026-03-20T00:00:00"/>
    <s v="20/03/2026"/>
    <x v="0"/>
    <x v="0"/>
    <x v="27"/>
    <x v="26"/>
    <x v="0"/>
    <x v="0"/>
    <s v="AAD"/>
    <x v="0"/>
    <x v="0"/>
    <n v="27478"/>
    <n v="22"/>
    <n v="4"/>
    <n v="447.214"/>
    <n v="97.6"/>
    <n v="30"/>
    <n v="2"/>
    <s v="A|B|C"/>
    <n v="2"/>
    <n v="2"/>
    <n v="2"/>
    <n v="0"/>
    <n v="0"/>
    <n v="6"/>
  </r>
  <r>
    <d v="2026-03-20T00:00:00"/>
    <s v="20/03/2026"/>
    <x v="0"/>
    <x v="2"/>
    <x v="28"/>
    <x v="27"/>
    <x v="0"/>
    <x v="0"/>
    <s v="AAD"/>
    <x v="0"/>
    <x v="0"/>
    <n v="27478"/>
    <n v="6"/>
    <n v="6"/>
    <n v="65.400000000000006"/>
    <n v="170.7"/>
    <n v="420"/>
    <n v="1"/>
    <s v="A|B|C"/>
    <n v="1"/>
    <n v="1"/>
    <n v="1"/>
    <n v="0"/>
    <n v="0"/>
    <n v="3"/>
  </r>
  <r>
    <d v="2026-03-20T00:00:00"/>
    <s v="20/03/2026"/>
    <x v="0"/>
    <x v="3"/>
    <x v="29"/>
    <x v="28"/>
    <x v="0"/>
    <x v="0"/>
    <s v="AAD"/>
    <x v="0"/>
    <x v="0"/>
    <n v="27478"/>
    <n v="14"/>
    <n v="4"/>
    <n v="130.70500000000001"/>
    <n v="50"/>
    <n v="20"/>
    <n v="1"/>
    <s v="A|B|C"/>
    <n v="1"/>
    <n v="0"/>
    <n v="1"/>
    <n v="0"/>
    <n v="0"/>
    <n v="2"/>
  </r>
  <r>
    <d v="2026-03-20T00:00:00"/>
    <s v="20/03/2026"/>
    <x v="0"/>
    <x v="3"/>
    <x v="30"/>
    <x v="29"/>
    <x v="0"/>
    <x v="0"/>
    <s v="AAD"/>
    <x v="0"/>
    <x v="0"/>
    <n v="27478"/>
    <n v="33"/>
    <n v="6"/>
    <n v="895.02599999999995"/>
    <n v="63"/>
    <n v="30"/>
    <n v="1"/>
    <s v="A|B|C"/>
    <n v="2"/>
    <n v="1"/>
    <n v="0"/>
    <n v="0"/>
    <n v="0"/>
    <n v="3"/>
  </r>
  <r>
    <d v="2026-03-20T00:00:00"/>
    <s v="20/03/2026"/>
    <x v="0"/>
    <x v="3"/>
    <x v="31"/>
    <x v="30"/>
    <x v="0"/>
    <x v="0"/>
    <s v="AAD"/>
    <x v="0"/>
    <x v="0"/>
    <n v="27478"/>
    <n v="55"/>
    <n v="16"/>
    <n v="853.14599999999996"/>
    <n v="334.4"/>
    <n v="15"/>
    <n v="6"/>
    <s v="A|B|C"/>
    <n v="5"/>
    <n v="4"/>
    <n v="2"/>
    <n v="0"/>
    <n v="0"/>
    <n v="11"/>
  </r>
  <r>
    <d v="2026-03-20T00:00:00"/>
    <s v="20/03/2026"/>
    <x v="0"/>
    <x v="3"/>
    <x v="32"/>
    <x v="31"/>
    <x v="0"/>
    <x v="0"/>
    <s v="AAD"/>
    <x v="1"/>
    <x v="0"/>
    <n v="27478"/>
    <n v="73"/>
    <n v="14"/>
    <n v="1847.9090000000001"/>
    <n v="180.7"/>
    <n v="30"/>
    <n v="7"/>
    <s v="A|B|C"/>
    <n v="5"/>
    <n v="4"/>
    <n v="3"/>
    <n v="0"/>
    <n v="0"/>
    <n v="12"/>
  </r>
  <r>
    <d v="2026-03-20T00:00:00"/>
    <s v="20/03/2026"/>
    <x v="0"/>
    <x v="3"/>
    <x v="33"/>
    <x v="32"/>
    <x v="0"/>
    <x v="0"/>
    <s v="AAD"/>
    <x v="1"/>
    <x v="0"/>
    <n v="27478"/>
    <n v="79"/>
    <n v="14"/>
    <n v="784.10699999999997"/>
    <n v="123.9"/>
    <n v="10"/>
    <n v="4"/>
    <s v="A|B|C"/>
    <n v="7"/>
    <n v="4"/>
    <n v="2"/>
    <n v="0"/>
    <n v="0"/>
    <n v="13"/>
  </r>
  <r>
    <d v="2026-03-20T00:00:00"/>
    <s v="20/03/2026"/>
    <x v="0"/>
    <x v="3"/>
    <x v="34"/>
    <x v="33"/>
    <x v="0"/>
    <x v="0"/>
    <s v="AAD"/>
    <x v="0"/>
    <x v="0"/>
    <n v="27478"/>
    <n v="77"/>
    <n v="14"/>
    <n v="2011.4659999999999"/>
    <n v="123.49"/>
    <n v="20"/>
    <n v="7"/>
    <s v="A|B|C"/>
    <n v="7"/>
    <n v="6"/>
    <n v="2"/>
    <n v="0"/>
    <n v="0"/>
    <n v="15"/>
  </r>
  <r>
    <d v="2026-03-20T00:00:00"/>
    <s v="20/03/2026"/>
    <x v="0"/>
    <x v="3"/>
    <x v="35"/>
    <x v="34"/>
    <x v="0"/>
    <x v="0"/>
    <s v="AAD"/>
    <x v="3"/>
    <x v="0"/>
    <n v="27478"/>
    <n v="191"/>
    <n v="22"/>
    <n v="947.24599999999998"/>
    <n v="387.2"/>
    <n v="9"/>
    <n v="7"/>
    <s v="A|B|C"/>
    <n v="9"/>
    <n v="4"/>
    <n v="3"/>
    <n v="0"/>
    <n v="0"/>
    <n v="16"/>
  </r>
  <r>
    <d v="2026-03-20T00:00:00"/>
    <s v="20/03/2026"/>
    <x v="0"/>
    <x v="3"/>
    <x v="36"/>
    <x v="35"/>
    <x v="0"/>
    <x v="0"/>
    <s v="AAD"/>
    <x v="3"/>
    <x v="0"/>
    <n v="27478"/>
    <n v="171"/>
    <n v="29"/>
    <n v="938.74300000000005"/>
    <n v="482.4"/>
    <n v="8"/>
    <n v="8"/>
    <s v="A|B|C"/>
    <n v="7"/>
    <n v="3"/>
    <n v="6"/>
    <n v="0"/>
    <n v="0"/>
    <n v="16"/>
  </r>
  <r>
    <d v="2026-03-20T00:00:00"/>
    <s v="20/03/2026"/>
    <x v="0"/>
    <x v="3"/>
    <x v="37"/>
    <x v="36"/>
    <x v="0"/>
    <x v="0"/>
    <s v="AAD"/>
    <x v="0"/>
    <x v="0"/>
    <n v="27478"/>
    <n v="76"/>
    <n v="10"/>
    <n v="1368"/>
    <n v="177.4"/>
    <n v="30"/>
    <n v="5"/>
    <s v="A|B|C"/>
    <n v="7"/>
    <n v="3"/>
    <n v="4"/>
    <n v="0"/>
    <n v="0"/>
    <n v="14"/>
  </r>
  <r>
    <d v="2026-03-20T00:00:00"/>
    <s v="20/03/2026"/>
    <x v="0"/>
    <x v="3"/>
    <x v="38"/>
    <x v="37"/>
    <x v="0"/>
    <x v="0"/>
    <s v="AAD"/>
    <x v="1"/>
    <x v="0"/>
    <n v="27478"/>
    <n v="76"/>
    <n v="6"/>
    <n v="782.07799999999997"/>
    <n v="87.9"/>
    <n v="30"/>
    <n v="3"/>
    <s v="A|B|C"/>
    <n v="4"/>
    <n v="2"/>
    <n v="2"/>
    <n v="0"/>
    <n v="0"/>
    <n v="8"/>
  </r>
  <r>
    <d v="2026-03-20T00:00:00"/>
    <s v="20/03/2026"/>
    <x v="0"/>
    <x v="3"/>
    <x v="39"/>
    <x v="38"/>
    <x v="0"/>
    <x v="0"/>
    <s v="AAD"/>
    <x v="0"/>
    <x v="0"/>
    <n v="27478"/>
    <n v="31"/>
    <n v="5"/>
    <n v="517.12099999999998"/>
    <n v="27.4"/>
    <n v="25"/>
    <n v="2"/>
    <s v="A|B|C"/>
    <n v="2"/>
    <n v="2"/>
    <n v="1"/>
    <n v="0"/>
    <n v="0"/>
    <n v="5"/>
  </r>
  <r>
    <d v="2026-03-20T00:00:00"/>
    <s v="20/03/2026"/>
    <x v="0"/>
    <x v="3"/>
    <x v="40"/>
    <x v="39"/>
    <x v="0"/>
    <x v="0"/>
    <s v="AAD"/>
    <x v="0"/>
    <x v="0"/>
    <n v="27478"/>
    <n v="33"/>
    <n v="5"/>
    <n v="852.23500000000001"/>
    <n v="39.799999999999997"/>
    <n v="30"/>
    <n v="2"/>
    <s v="A|B|C"/>
    <n v="3"/>
    <n v="0"/>
    <n v="2"/>
    <n v="0"/>
    <n v="0"/>
    <n v="5"/>
  </r>
  <r>
    <d v="2026-03-20T00:00:00"/>
    <s v="20/03/2026"/>
    <x v="0"/>
    <x v="3"/>
    <x v="41"/>
    <x v="40"/>
    <x v="0"/>
    <x v="0"/>
    <s v="AAD"/>
    <x v="0"/>
    <x v="0"/>
    <n v="27478"/>
    <n v="86"/>
    <n v="16"/>
    <n v="1556.4280000000001"/>
    <n v="256"/>
    <n v="20"/>
    <n v="6"/>
    <s v="A|B|C"/>
    <n v="9"/>
    <n v="3"/>
    <n v="3"/>
    <n v="0"/>
    <n v="0"/>
    <n v="15"/>
  </r>
  <r>
    <d v="2026-03-20T00:00:00"/>
    <s v="20/03/2026"/>
    <x v="0"/>
    <x v="3"/>
    <x v="42"/>
    <x v="41"/>
    <x v="0"/>
    <x v="0"/>
    <s v="AAD"/>
    <x v="0"/>
    <x v="0"/>
    <n v="27478"/>
    <n v="14"/>
    <n v="2"/>
    <n v="93.254000000000005"/>
    <n v="50"/>
    <n v="20"/>
    <n v="1"/>
    <s v="A|B|C"/>
    <n v="1"/>
    <n v="1"/>
    <n v="0"/>
    <n v="0"/>
    <n v="0"/>
    <n v="2"/>
  </r>
  <r>
    <d v="2026-03-20T00:00:00"/>
    <s v="20/03/2026"/>
    <x v="0"/>
    <x v="3"/>
    <x v="43"/>
    <x v="42"/>
    <x v="0"/>
    <x v="0"/>
    <s v="AAD"/>
    <x v="1"/>
    <x v="0"/>
    <n v="27478"/>
    <n v="32"/>
    <n v="8"/>
    <n v="437.52"/>
    <n v="161"/>
    <n v="20"/>
    <n v="3"/>
    <s v="A|B|C"/>
    <n v="3"/>
    <n v="2"/>
    <n v="2"/>
    <n v="0"/>
    <n v="0"/>
    <n v="7"/>
  </r>
  <r>
    <d v="2026-03-20T00:00:00"/>
    <s v="20/03/2026"/>
    <x v="0"/>
    <x v="1"/>
    <x v="44"/>
    <x v="43"/>
    <x v="0"/>
    <x v="0"/>
    <s v="AAD"/>
    <x v="3"/>
    <x v="0"/>
    <n v="27478"/>
    <n v="53"/>
    <n v="16"/>
    <n v="1639.7329999999999"/>
    <n v="214.4"/>
    <n v="20"/>
    <n v="6"/>
    <s v="A|B|C"/>
    <n v="6"/>
    <n v="5"/>
    <n v="1"/>
    <n v="0"/>
    <n v="0"/>
    <n v="12"/>
  </r>
  <r>
    <d v="2026-03-20T00:00:00"/>
    <s v="20/03/2026"/>
    <x v="0"/>
    <x v="1"/>
    <x v="45"/>
    <x v="44"/>
    <x v="0"/>
    <x v="0"/>
    <s v="AAD"/>
    <x v="0"/>
    <x v="0"/>
    <n v="27478"/>
    <n v="48"/>
    <n v="28"/>
    <n v="1396.153"/>
    <n v="477.3"/>
    <n v="30"/>
    <n v="7"/>
    <s v="A|B|C"/>
    <n v="7"/>
    <n v="5"/>
    <n v="2"/>
    <n v="0"/>
    <n v="0"/>
    <n v="14"/>
  </r>
  <r>
    <d v="2026-03-21T00:00:00"/>
    <s v="20/03/2026"/>
    <x v="0"/>
    <x v="0"/>
    <x v="0"/>
    <x v="0"/>
    <x v="0"/>
    <x v="0"/>
    <s v="AAD"/>
    <x v="0"/>
    <x v="1"/>
    <n v="27477"/>
    <n v="32"/>
    <n v="8"/>
    <n v="1199.454"/>
    <n v="223.2"/>
    <n v="30"/>
    <n v="4"/>
    <s v="A|B|C"/>
    <n v="6"/>
    <n v="3"/>
    <n v="1"/>
    <n v="0"/>
    <n v="0"/>
    <n v="10"/>
  </r>
  <r>
    <d v="2026-03-21T00:00:00"/>
    <s v="20/03/2026"/>
    <x v="0"/>
    <x v="0"/>
    <x v="1"/>
    <x v="1"/>
    <x v="0"/>
    <x v="0"/>
    <s v="AAD"/>
    <x v="1"/>
    <x v="1"/>
    <n v="27477"/>
    <n v="66"/>
    <n v="16"/>
    <n v="1790.6880000000001"/>
    <n v="103.5"/>
    <n v="30"/>
    <n v="4"/>
    <s v="A|B|C"/>
    <n v="4"/>
    <n v="4"/>
    <n v="0"/>
    <n v="0"/>
    <n v="0"/>
    <n v="8"/>
  </r>
  <r>
    <d v="2026-03-21T00:00:00"/>
    <s v="20/03/2026"/>
    <x v="0"/>
    <x v="0"/>
    <x v="3"/>
    <x v="2"/>
    <x v="0"/>
    <x v="0"/>
    <s v="AAD"/>
    <x v="2"/>
    <x v="1"/>
    <n v="27477"/>
    <n v="122"/>
    <n v="30"/>
    <n v="2087.7420000000002"/>
    <n v="628.86199999999997"/>
    <n v="15"/>
    <n v="14"/>
    <s v="A|B|C"/>
    <n v="11"/>
    <n v="13"/>
    <n v="2"/>
    <n v="0"/>
    <n v="0"/>
    <n v="26"/>
  </r>
  <r>
    <d v="2026-03-21T00:00:00"/>
    <s v="20/03/2026"/>
    <x v="0"/>
    <x v="0"/>
    <x v="4"/>
    <x v="3"/>
    <x v="0"/>
    <x v="0"/>
    <s v="AAD"/>
    <x v="1"/>
    <x v="1"/>
    <n v="27477"/>
    <n v="37"/>
    <n v="8"/>
    <n v="1135.799"/>
    <n v="96.3"/>
    <n v="65"/>
    <n v="4"/>
    <s v="A|B|C"/>
    <n v="4"/>
    <n v="1"/>
    <n v="2"/>
    <n v="0"/>
    <n v="0"/>
    <n v="7"/>
  </r>
  <r>
    <d v="2026-03-21T00:00:00"/>
    <s v="20/03/2026"/>
    <x v="0"/>
    <x v="0"/>
    <x v="5"/>
    <x v="4"/>
    <x v="0"/>
    <x v="0"/>
    <s v="AAD"/>
    <x v="1"/>
    <x v="1"/>
    <n v="27477"/>
    <n v="68"/>
    <n v="16"/>
    <n v="1671.5889999999999"/>
    <n v="385"/>
    <n v="30"/>
    <n v="8"/>
    <s v="A|B|C"/>
    <n v="9"/>
    <n v="8"/>
    <n v="0"/>
    <n v="0"/>
    <n v="0"/>
    <n v="17"/>
  </r>
  <r>
    <d v="2026-03-21T00:00:00"/>
    <s v="20/03/2026"/>
    <x v="0"/>
    <x v="0"/>
    <x v="6"/>
    <x v="5"/>
    <x v="0"/>
    <x v="0"/>
    <s v="AAD"/>
    <x v="0"/>
    <x v="1"/>
    <n v="27477"/>
    <n v="31"/>
    <n v="5"/>
    <n v="1430.6969999999999"/>
    <n v="27.35"/>
    <n v="0"/>
    <n v="1"/>
    <s v="A|B|C"/>
    <n v="5"/>
    <n v="3"/>
    <n v="1"/>
    <n v="0"/>
    <n v="0"/>
    <n v="9"/>
  </r>
  <r>
    <d v="2026-03-21T00:00:00"/>
    <s v="20/03/2026"/>
    <x v="0"/>
    <x v="0"/>
    <x v="7"/>
    <x v="6"/>
    <x v="0"/>
    <x v="0"/>
    <s v="AAD"/>
    <x v="0"/>
    <x v="1"/>
    <n v="27477"/>
    <n v="32"/>
    <n v="7"/>
    <n v="1469.5070000000001"/>
    <n v="67"/>
    <n v="30"/>
    <n v="5"/>
    <s v="A|B|C"/>
    <n v="3"/>
    <n v="1"/>
    <n v="2"/>
    <n v="0"/>
    <n v="0"/>
    <n v="6"/>
  </r>
  <r>
    <d v="2026-03-21T00:00:00"/>
    <s v="20/03/2026"/>
    <x v="0"/>
    <x v="0"/>
    <x v="8"/>
    <x v="7"/>
    <x v="0"/>
    <x v="0"/>
    <s v="AAD"/>
    <x v="0"/>
    <x v="1"/>
    <n v="27477"/>
    <n v="32"/>
    <n v="4"/>
    <n v="437.65"/>
    <n v="93.8"/>
    <n v="25"/>
    <n v="2"/>
    <s v="A|B|C"/>
    <n v="2"/>
    <n v="2"/>
    <n v="0"/>
    <n v="0"/>
    <n v="0"/>
    <n v="4"/>
  </r>
  <r>
    <d v="2026-03-21T00:00:00"/>
    <s v="20/03/2026"/>
    <x v="0"/>
    <x v="0"/>
    <x v="9"/>
    <x v="8"/>
    <x v="0"/>
    <x v="0"/>
    <s v="AAD"/>
    <x v="2"/>
    <x v="1"/>
    <n v="27477"/>
    <n v="81"/>
    <n v="20"/>
    <n v="1487.4010000000001"/>
    <n v="369.35"/>
    <n v="20"/>
    <n v="7"/>
    <s v="A|B|C"/>
    <n v="7"/>
    <n v="6"/>
    <n v="1"/>
    <n v="0"/>
    <n v="0"/>
    <n v="14"/>
  </r>
  <r>
    <d v="2026-03-21T00:00:00"/>
    <s v="20/03/2026"/>
    <x v="0"/>
    <x v="0"/>
    <x v="10"/>
    <x v="9"/>
    <x v="0"/>
    <x v="0"/>
    <s v="AAD"/>
    <x v="1"/>
    <x v="1"/>
    <n v="27477"/>
    <n v="41"/>
    <n v="10"/>
    <n v="752.39099999999996"/>
    <n v="83.5"/>
    <n v="20"/>
    <n v="4"/>
    <s v="A|B|C"/>
    <n v="4"/>
    <n v="4"/>
    <n v="0"/>
    <n v="0"/>
    <n v="0"/>
    <n v="8"/>
  </r>
  <r>
    <d v="2026-03-21T00:00:00"/>
    <s v="20/03/2026"/>
    <x v="0"/>
    <x v="0"/>
    <x v="11"/>
    <x v="10"/>
    <x v="0"/>
    <x v="0"/>
    <s v="AAD"/>
    <x v="0"/>
    <x v="1"/>
    <n v="27477"/>
    <n v="99"/>
    <n v="20"/>
    <n v="2917.9929999999999"/>
    <n v="205.3"/>
    <n v="9"/>
    <n v="9"/>
    <s v="A|B|C"/>
    <n v="6"/>
    <n v="9"/>
    <n v="0"/>
    <n v="0"/>
    <n v="0"/>
    <n v="15"/>
  </r>
  <r>
    <d v="2026-03-21T00:00:00"/>
    <s v="20/03/2026"/>
    <x v="0"/>
    <x v="0"/>
    <x v="12"/>
    <x v="11"/>
    <x v="0"/>
    <x v="0"/>
    <s v="AAD"/>
    <x v="0"/>
    <x v="1"/>
    <n v="27477"/>
    <n v="102"/>
    <n v="28"/>
    <n v="3597.0050000000001"/>
    <n v="287.3"/>
    <n v="20"/>
    <n v="11"/>
    <s v="A|B|C"/>
    <n v="10"/>
    <n v="10"/>
    <n v="1"/>
    <n v="0"/>
    <n v="0"/>
    <n v="21"/>
  </r>
  <r>
    <d v="2026-03-21T00:00:00"/>
    <s v="20/03/2026"/>
    <x v="0"/>
    <x v="0"/>
    <x v="13"/>
    <x v="12"/>
    <x v="0"/>
    <x v="0"/>
    <s v="AAD"/>
    <x v="0"/>
    <x v="1"/>
    <n v="27477"/>
    <n v="30"/>
    <n v="10"/>
    <n v="1533.09"/>
    <n v="140"/>
    <n v="0"/>
    <n v="7"/>
    <s v="A|B|C"/>
    <n v="5"/>
    <n v="7"/>
    <n v="0"/>
    <n v="0"/>
    <n v="0"/>
    <n v="12"/>
  </r>
  <r>
    <d v="2026-03-21T00:00:00"/>
    <s v="20/03/2026"/>
    <x v="0"/>
    <x v="0"/>
    <x v="14"/>
    <x v="13"/>
    <x v="0"/>
    <x v="0"/>
    <s v="AAD"/>
    <x v="0"/>
    <x v="1"/>
    <n v="27477"/>
    <n v="31"/>
    <n v="12"/>
    <n v="1463.82"/>
    <n v="180"/>
    <n v="20"/>
    <n v="4"/>
    <s v="A|B|C"/>
    <n v="2"/>
    <n v="4"/>
    <n v="0"/>
    <n v="0"/>
    <n v="0"/>
    <n v="6"/>
  </r>
  <r>
    <d v="2026-03-21T00:00:00"/>
    <s v="20/03/2026"/>
    <x v="0"/>
    <x v="0"/>
    <x v="16"/>
    <x v="15"/>
    <x v="0"/>
    <x v="0"/>
    <s v="AAD"/>
    <x v="0"/>
    <x v="1"/>
    <n v="27477"/>
    <n v="46"/>
    <n v="18"/>
    <n v="1469.1020000000001"/>
    <n v="234.9"/>
    <n v="30"/>
    <n v="6"/>
    <s v="A|B|C"/>
    <n v="6"/>
    <n v="3"/>
    <n v="3"/>
    <n v="0"/>
    <n v="0"/>
    <n v="12"/>
  </r>
  <r>
    <d v="2026-03-21T00:00:00"/>
    <s v="20/03/2026"/>
    <x v="0"/>
    <x v="0"/>
    <x v="17"/>
    <x v="16"/>
    <x v="0"/>
    <x v="0"/>
    <s v="AAD"/>
    <x v="0"/>
    <x v="1"/>
    <n v="27477"/>
    <n v="34"/>
    <n v="8"/>
    <n v="1331.287"/>
    <n v="102.1"/>
    <n v="30"/>
    <n v="4"/>
    <s v="A|B|C"/>
    <n v="3"/>
    <n v="4"/>
    <n v="1"/>
    <n v="0"/>
    <n v="0"/>
    <n v="8"/>
  </r>
  <r>
    <d v="2026-03-21T00:00:00"/>
    <s v="20/03/2026"/>
    <x v="0"/>
    <x v="0"/>
    <x v="18"/>
    <x v="17"/>
    <x v="0"/>
    <x v="0"/>
    <s v="AAD"/>
    <x v="0"/>
    <x v="1"/>
    <n v="27477"/>
    <n v="78"/>
    <n v="18"/>
    <n v="2578.1729999999998"/>
    <n v="298.5"/>
    <n v="20"/>
    <n v="9"/>
    <s v="A|B|C"/>
    <n v="7"/>
    <n v="8"/>
    <n v="7"/>
    <n v="0"/>
    <n v="0"/>
    <n v="22"/>
  </r>
  <r>
    <d v="2026-03-21T00:00:00"/>
    <s v="20/03/2026"/>
    <x v="0"/>
    <x v="0"/>
    <x v="19"/>
    <x v="18"/>
    <x v="0"/>
    <x v="0"/>
    <s v="AAD"/>
    <x v="0"/>
    <x v="1"/>
    <n v="27477"/>
    <n v="60"/>
    <n v="16"/>
    <n v="1590.481"/>
    <n v="161"/>
    <n v="25"/>
    <n v="7"/>
    <s v="A|B|C"/>
    <n v="6"/>
    <n v="6"/>
    <n v="1"/>
    <n v="0"/>
    <n v="0"/>
    <n v="13"/>
  </r>
  <r>
    <d v="2026-03-21T00:00:00"/>
    <s v="20/03/2026"/>
    <x v="0"/>
    <x v="0"/>
    <x v="20"/>
    <x v="19"/>
    <x v="0"/>
    <x v="0"/>
    <s v="AAD"/>
    <x v="3"/>
    <x v="1"/>
    <n v="27477"/>
    <n v="69"/>
    <n v="20"/>
    <n v="2281.636"/>
    <n v="478.8"/>
    <n v="25"/>
    <n v="9"/>
    <s v="A|B|C"/>
    <n v="9"/>
    <n v="8"/>
    <n v="0"/>
    <n v="0"/>
    <n v="0"/>
    <n v="17"/>
  </r>
  <r>
    <d v="2026-03-21T00:00:00"/>
    <s v="20/03/2026"/>
    <x v="0"/>
    <x v="0"/>
    <x v="21"/>
    <x v="20"/>
    <x v="0"/>
    <x v="0"/>
    <s v="AAD"/>
    <x v="0"/>
    <x v="1"/>
    <n v="27477"/>
    <n v="82"/>
    <n v="14"/>
    <n v="1003.0650000000001"/>
    <n v="261.89999999999998"/>
    <n v="30"/>
    <n v="5"/>
    <s v="A|B|C"/>
    <n v="7"/>
    <n v="3"/>
    <n v="2"/>
    <n v="0"/>
    <n v="0"/>
    <n v="12"/>
  </r>
  <r>
    <d v="2026-03-21T00:00:00"/>
    <s v="20/03/2026"/>
    <x v="0"/>
    <x v="0"/>
    <x v="23"/>
    <x v="22"/>
    <x v="0"/>
    <x v="0"/>
    <s v="AAD"/>
    <x v="2"/>
    <x v="1"/>
    <n v="27477"/>
    <n v="67"/>
    <n v="10"/>
    <n v="1141.4760000000001"/>
    <n v="243.7"/>
    <n v="15"/>
    <n v="5"/>
    <s v="A|B|C"/>
    <n v="7"/>
    <n v="3"/>
    <n v="5"/>
    <n v="0"/>
    <n v="0"/>
    <n v="15"/>
  </r>
  <r>
    <d v="2026-03-21T00:00:00"/>
    <s v="20/03/2026"/>
    <x v="0"/>
    <x v="0"/>
    <x v="46"/>
    <x v="45"/>
    <x v="0"/>
    <x v="0"/>
    <s v="AAD"/>
    <x v="0"/>
    <x v="1"/>
    <n v="27477"/>
    <n v="37"/>
    <n v="16"/>
    <n v="646.94799999999998"/>
    <n v="314.10000000000002"/>
    <n v="20"/>
    <n v="6"/>
    <s v="A|B|C"/>
    <n v="3"/>
    <n v="6"/>
    <n v="1"/>
    <n v="0"/>
    <n v="0"/>
    <n v="10"/>
  </r>
  <r>
    <d v="2026-03-21T00:00:00"/>
    <s v="20/03/2026"/>
    <x v="0"/>
    <x v="0"/>
    <x v="24"/>
    <x v="23"/>
    <x v="0"/>
    <x v="0"/>
    <s v="AAD"/>
    <x v="0"/>
    <x v="1"/>
    <n v="27477"/>
    <n v="30"/>
    <n v="6"/>
    <n v="676.54499999999996"/>
    <n v="158.6"/>
    <n v="35"/>
    <n v="3"/>
    <s v="A|B|C"/>
    <n v="3"/>
    <n v="2"/>
    <n v="1"/>
    <n v="0"/>
    <n v="0"/>
    <n v="6"/>
  </r>
  <r>
    <d v="2026-03-21T00:00:00"/>
    <s v="20/03/2026"/>
    <x v="0"/>
    <x v="0"/>
    <x v="25"/>
    <x v="24"/>
    <x v="0"/>
    <x v="0"/>
    <s v="AAD"/>
    <x v="0"/>
    <x v="1"/>
    <n v="27477"/>
    <n v="78"/>
    <n v="16"/>
    <n v="1851.7"/>
    <n v="455.5"/>
    <n v="20"/>
    <n v="8"/>
    <s v="A|B|C"/>
    <n v="9"/>
    <n v="4"/>
    <n v="5"/>
    <n v="0"/>
    <n v="0"/>
    <n v="18"/>
  </r>
  <r>
    <d v="2026-03-21T00:00:00"/>
    <s v="20/03/2026"/>
    <x v="0"/>
    <x v="0"/>
    <x v="26"/>
    <x v="25"/>
    <x v="0"/>
    <x v="0"/>
    <s v="AAD"/>
    <x v="1"/>
    <x v="1"/>
    <n v="27477"/>
    <n v="27"/>
    <n v="6"/>
    <n v="533.08799999999997"/>
    <n v="140.69999999999999"/>
    <n v="30"/>
    <n v="3"/>
    <s v="A|B|C"/>
    <n v="2"/>
    <n v="3"/>
    <n v="0"/>
    <n v="0"/>
    <n v="0"/>
    <n v="5"/>
  </r>
  <r>
    <d v="2026-03-21T00:00:00"/>
    <s v="20/03/2026"/>
    <x v="0"/>
    <x v="0"/>
    <x v="27"/>
    <x v="26"/>
    <x v="0"/>
    <x v="0"/>
    <s v="AAD"/>
    <x v="0"/>
    <x v="1"/>
    <n v="27477"/>
    <n v="9"/>
    <n v="4"/>
    <n v="182.614"/>
    <n v="50.4"/>
    <n v="30"/>
    <n v="1"/>
    <s v="A|B|C"/>
    <n v="1"/>
    <n v="1"/>
    <n v="0"/>
    <n v="0"/>
    <n v="0"/>
    <n v="2"/>
  </r>
  <r>
    <d v="2026-03-21T00:00:00"/>
    <s v="20/03/2026"/>
    <x v="0"/>
    <x v="2"/>
    <x v="28"/>
    <x v="27"/>
    <x v="0"/>
    <x v="0"/>
    <s v="AAD"/>
    <x v="0"/>
    <x v="1"/>
    <n v="27477"/>
    <n v="6"/>
    <n v="6"/>
    <n v="65.400000000000006"/>
    <n v="170.7"/>
    <n v="420"/>
    <n v="1"/>
    <s v="A|B|C"/>
    <n v="1"/>
    <n v="1"/>
    <n v="1"/>
    <n v="0"/>
    <n v="0"/>
    <n v="3"/>
  </r>
  <r>
    <d v="2026-03-21T00:00:00"/>
    <s v="20/03/2026"/>
    <x v="0"/>
    <x v="3"/>
    <x v="29"/>
    <x v="28"/>
    <x v="0"/>
    <x v="0"/>
    <s v="AAD"/>
    <x v="0"/>
    <x v="1"/>
    <n v="27477"/>
    <n v="6"/>
    <n v="2"/>
    <n v="56.017000000000003"/>
    <n v="50"/>
    <n v="25"/>
    <n v="1"/>
    <s v="A|B|C"/>
    <n v="0"/>
    <n v="1"/>
    <n v="0"/>
    <n v="0"/>
    <n v="0"/>
    <n v="1"/>
  </r>
  <r>
    <d v="2026-03-21T00:00:00"/>
    <s v="20/03/2026"/>
    <x v="0"/>
    <x v="3"/>
    <x v="30"/>
    <x v="29"/>
    <x v="0"/>
    <x v="0"/>
    <s v="AAD"/>
    <x v="0"/>
    <x v="1"/>
    <n v="27477"/>
    <n v="31"/>
    <n v="6"/>
    <n v="840.78200000000004"/>
    <n v="54.6"/>
    <n v="30"/>
    <n v="3"/>
    <s v="A|B|C"/>
    <n v="2"/>
    <n v="0"/>
    <n v="0"/>
    <n v="0"/>
    <n v="0"/>
    <n v="2"/>
  </r>
  <r>
    <d v="2026-03-21T00:00:00"/>
    <s v="20/03/2026"/>
    <x v="0"/>
    <x v="3"/>
    <x v="31"/>
    <x v="30"/>
    <x v="0"/>
    <x v="0"/>
    <s v="AAD"/>
    <x v="0"/>
    <x v="1"/>
    <n v="27477"/>
    <n v="48"/>
    <n v="10"/>
    <n v="742.93799999999999"/>
    <n v="259.8"/>
    <n v="20"/>
    <n v="5"/>
    <s v="A|B|C"/>
    <n v="5"/>
    <n v="1"/>
    <n v="4"/>
    <n v="0"/>
    <n v="0"/>
    <n v="10"/>
  </r>
  <r>
    <d v="2026-03-21T00:00:00"/>
    <s v="20/03/2026"/>
    <x v="0"/>
    <x v="3"/>
    <x v="32"/>
    <x v="31"/>
    <x v="0"/>
    <x v="0"/>
    <s v="AAD"/>
    <x v="1"/>
    <x v="1"/>
    <n v="27477"/>
    <n v="54"/>
    <n v="14"/>
    <n v="1369.7819999999999"/>
    <n v="156.1"/>
    <n v="35"/>
    <n v="4"/>
    <s v="A|B|C"/>
    <n v="6"/>
    <n v="1"/>
    <n v="3"/>
    <n v="0"/>
    <n v="0"/>
    <n v="10"/>
  </r>
  <r>
    <d v="2026-03-21T00:00:00"/>
    <s v="20/03/2026"/>
    <x v="0"/>
    <x v="3"/>
    <x v="33"/>
    <x v="32"/>
    <x v="0"/>
    <x v="0"/>
    <s v="AAD"/>
    <x v="1"/>
    <x v="1"/>
    <n v="27477"/>
    <n v="61"/>
    <n v="14"/>
    <n v="604.26900000000001"/>
    <n v="128.80000000000001"/>
    <n v="15"/>
    <n v="4"/>
    <s v="A|B|C"/>
    <n v="3"/>
    <n v="3"/>
    <n v="2"/>
    <n v="0"/>
    <n v="0"/>
    <n v="8"/>
  </r>
  <r>
    <d v="2026-03-21T00:00:00"/>
    <s v="20/03/2026"/>
    <x v="0"/>
    <x v="3"/>
    <x v="34"/>
    <x v="33"/>
    <x v="0"/>
    <x v="0"/>
    <s v="AAD"/>
    <x v="0"/>
    <x v="1"/>
    <n v="27477"/>
    <n v="72"/>
    <n v="11"/>
    <n v="1889.9670000000001"/>
    <n v="124.411"/>
    <n v="25"/>
    <n v="5"/>
    <s v="A|B|C"/>
    <n v="11"/>
    <n v="8"/>
    <n v="2"/>
    <n v="0"/>
    <n v="0"/>
    <n v="21"/>
  </r>
  <r>
    <d v="2026-03-21T00:00:00"/>
    <s v="20/03/2026"/>
    <x v="0"/>
    <x v="3"/>
    <x v="35"/>
    <x v="34"/>
    <x v="0"/>
    <x v="0"/>
    <s v="AAD"/>
    <x v="3"/>
    <x v="1"/>
    <n v="27477"/>
    <n v="165"/>
    <n v="18"/>
    <n v="818.31200000000001"/>
    <n v="373.8"/>
    <n v="10"/>
    <n v="6"/>
    <s v="A|B|C"/>
    <n v="5"/>
    <n v="7"/>
    <n v="0"/>
    <n v="0"/>
    <n v="0"/>
    <n v="12"/>
  </r>
  <r>
    <d v="2026-03-21T00:00:00"/>
    <s v="20/03/2026"/>
    <x v="0"/>
    <x v="3"/>
    <x v="36"/>
    <x v="35"/>
    <x v="0"/>
    <x v="0"/>
    <s v="AAD"/>
    <x v="3"/>
    <x v="1"/>
    <n v="27477"/>
    <n v="123"/>
    <n v="13"/>
    <n v="675.71400000000006"/>
    <n v="254.51"/>
    <n v="14"/>
    <n v="5"/>
    <s v="A|B|C"/>
    <n v="5"/>
    <n v="2"/>
    <n v="2"/>
    <n v="0"/>
    <n v="0"/>
    <n v="9"/>
  </r>
  <r>
    <d v="2026-03-21T00:00:00"/>
    <s v="20/03/2026"/>
    <x v="0"/>
    <x v="3"/>
    <x v="37"/>
    <x v="36"/>
    <x v="0"/>
    <x v="0"/>
    <s v="AAD"/>
    <x v="0"/>
    <x v="1"/>
    <n v="27477"/>
    <n v="74"/>
    <n v="12"/>
    <n v="1332"/>
    <n v="212.1"/>
    <n v="30"/>
    <n v="6"/>
    <s v="A|B|C"/>
    <n v="7"/>
    <n v="4"/>
    <n v="3"/>
    <n v="0"/>
    <n v="0"/>
    <n v="14"/>
  </r>
  <r>
    <d v="2026-03-21T00:00:00"/>
    <s v="20/03/2026"/>
    <x v="0"/>
    <x v="3"/>
    <x v="38"/>
    <x v="37"/>
    <x v="0"/>
    <x v="0"/>
    <s v="AAD"/>
    <x v="1"/>
    <x v="1"/>
    <n v="27477"/>
    <n v="74"/>
    <n v="6"/>
    <n v="761.49699999999996"/>
    <n v="97.2"/>
    <n v="30"/>
    <n v="3"/>
    <s v="A|B|C"/>
    <n v="4"/>
    <n v="2"/>
    <n v="1"/>
    <n v="0"/>
    <n v="0"/>
    <n v="7"/>
  </r>
  <r>
    <d v="2026-03-21T00:00:00"/>
    <s v="20/03/2026"/>
    <x v="0"/>
    <x v="3"/>
    <x v="39"/>
    <x v="38"/>
    <x v="0"/>
    <x v="0"/>
    <s v="AAD"/>
    <x v="0"/>
    <x v="1"/>
    <n v="27477"/>
    <n v="31"/>
    <n v="6"/>
    <n v="512.45299999999997"/>
    <n v="49.7"/>
    <n v="25"/>
    <n v="2"/>
    <s v="A|B|C"/>
    <n v="0"/>
    <n v="2"/>
    <n v="0"/>
    <n v="0"/>
    <n v="0"/>
    <n v="2"/>
  </r>
  <r>
    <d v="2026-03-21T00:00:00"/>
    <s v="20/03/2026"/>
    <x v="0"/>
    <x v="3"/>
    <x v="40"/>
    <x v="39"/>
    <x v="0"/>
    <x v="0"/>
    <s v="AAD"/>
    <x v="0"/>
    <x v="1"/>
    <n v="27477"/>
    <n v="32"/>
    <n v="5"/>
    <n v="826.19100000000003"/>
    <n v="48.3"/>
    <n v="28"/>
    <n v="2"/>
    <s v="A|B|C"/>
    <n v="1"/>
    <n v="0"/>
    <n v="0"/>
    <n v="0"/>
    <n v="0"/>
    <n v="1"/>
  </r>
  <r>
    <d v="2026-03-21T00:00:00"/>
    <s v="20/03/2026"/>
    <x v="0"/>
    <x v="3"/>
    <x v="41"/>
    <x v="40"/>
    <x v="0"/>
    <x v="0"/>
    <s v="AAD"/>
    <x v="0"/>
    <x v="1"/>
    <n v="27477"/>
    <n v="84"/>
    <n v="14"/>
    <n v="1520.232"/>
    <n v="241.6"/>
    <n v="20"/>
    <n v="6"/>
    <s v="A|B|C"/>
    <n v="9"/>
    <n v="3"/>
    <n v="3"/>
    <n v="0"/>
    <n v="0"/>
    <n v="15"/>
  </r>
  <r>
    <d v="2026-03-21T00:00:00"/>
    <s v="20/03/2026"/>
    <x v="0"/>
    <x v="3"/>
    <x v="42"/>
    <x v="41"/>
    <x v="0"/>
    <x v="0"/>
    <s v="AAD"/>
    <x v="0"/>
    <x v="1"/>
    <n v="27477"/>
    <n v="13"/>
    <n v="2"/>
    <n v="86.593000000000004"/>
    <n v="50"/>
    <n v="17"/>
    <n v="1"/>
    <s v="A|B|C"/>
    <n v="1"/>
    <n v="0"/>
    <n v="1"/>
    <n v="0"/>
    <n v="0"/>
    <n v="2"/>
  </r>
  <r>
    <d v="2026-03-21T00:00:00"/>
    <s v="20/03/2026"/>
    <x v="0"/>
    <x v="3"/>
    <x v="43"/>
    <x v="42"/>
    <x v="0"/>
    <x v="0"/>
    <s v="AAD"/>
    <x v="1"/>
    <x v="1"/>
    <n v="27477"/>
    <n v="29"/>
    <n v="8"/>
    <n v="396.34199999999998"/>
    <n v="161"/>
    <n v="20"/>
    <n v="3"/>
    <s v="A|B|C"/>
    <n v="3"/>
    <n v="2"/>
    <n v="1"/>
    <n v="0"/>
    <n v="0"/>
    <n v="6"/>
  </r>
  <r>
    <d v="2026-03-21T00:00:00"/>
    <s v="20/03/2026"/>
    <x v="0"/>
    <x v="1"/>
    <x v="44"/>
    <x v="43"/>
    <x v="0"/>
    <x v="0"/>
    <s v="AAD"/>
    <x v="3"/>
    <x v="1"/>
    <n v="27477"/>
    <n v="45"/>
    <n v="8"/>
    <n v="1394.886"/>
    <n v="136.80000000000001"/>
    <n v="25"/>
    <n v="4"/>
    <s v="A|B|C"/>
    <n v="5"/>
    <n v="3"/>
    <n v="1"/>
    <n v="0"/>
    <n v="0"/>
    <n v="9"/>
  </r>
  <r>
    <d v="2026-03-21T00:00:00"/>
    <s v="20/03/2026"/>
    <x v="0"/>
    <x v="1"/>
    <x v="45"/>
    <x v="44"/>
    <x v="0"/>
    <x v="0"/>
    <s v="AAD"/>
    <x v="0"/>
    <x v="1"/>
    <n v="27477"/>
    <n v="46"/>
    <n v="26"/>
    <n v="1337.9459999999999"/>
    <n v="444.2"/>
    <n v="30"/>
    <n v="7"/>
    <s v="A|B|C"/>
    <n v="6"/>
    <n v="6"/>
    <n v="1"/>
    <n v="0"/>
    <n v="0"/>
    <n v="13"/>
  </r>
  <r>
    <d v="2026-03-22T00:00:00"/>
    <s v="20/03/2026"/>
    <x v="0"/>
    <x v="0"/>
    <x v="0"/>
    <x v="0"/>
    <x v="0"/>
    <x v="0"/>
    <s v="AAD"/>
    <x v="0"/>
    <x v="2"/>
    <n v="27479"/>
    <n v="34"/>
    <n v="10"/>
    <n v="1274.42"/>
    <n v="280.10000000000002"/>
    <n v="25"/>
    <n v="5"/>
    <s v="A|B|C"/>
    <n v="4"/>
    <n v="5"/>
    <n v="0"/>
    <n v="0"/>
    <n v="0"/>
    <n v="9"/>
  </r>
  <r>
    <d v="2026-03-22T00:00:00"/>
    <s v="20/03/2026"/>
    <x v="0"/>
    <x v="0"/>
    <x v="1"/>
    <x v="1"/>
    <x v="0"/>
    <x v="0"/>
    <s v="AAD"/>
    <x v="1"/>
    <x v="2"/>
    <n v="27479"/>
    <n v="61"/>
    <n v="16"/>
    <n v="1655.5809999999999"/>
    <n v="132.9"/>
    <n v="30"/>
    <n v="5"/>
    <s v="A|B|C"/>
    <n v="4"/>
    <n v="4"/>
    <n v="0"/>
    <n v="0"/>
    <n v="0"/>
    <n v="8"/>
  </r>
  <r>
    <d v="2026-03-22T00:00:00"/>
    <s v="20/03/2026"/>
    <x v="0"/>
    <x v="0"/>
    <x v="3"/>
    <x v="2"/>
    <x v="0"/>
    <x v="0"/>
    <s v="AAD"/>
    <x v="2"/>
    <x v="2"/>
    <n v="27479"/>
    <n v="114"/>
    <n v="24"/>
    <n v="1955.59"/>
    <n v="595.5"/>
    <n v="15"/>
    <n v="12"/>
    <s v="A|B|C"/>
    <n v="8"/>
    <n v="10"/>
    <n v="3"/>
    <n v="0"/>
    <n v="0"/>
    <n v="21"/>
  </r>
  <r>
    <d v="2026-03-22T00:00:00"/>
    <s v="20/03/2026"/>
    <x v="0"/>
    <x v="0"/>
    <x v="4"/>
    <x v="3"/>
    <x v="0"/>
    <x v="0"/>
    <s v="AAD"/>
    <x v="1"/>
    <x v="2"/>
    <n v="27479"/>
    <n v="36"/>
    <n v="8"/>
    <n v="1104.2280000000001"/>
    <n v="107.9"/>
    <n v="40"/>
    <n v="3"/>
    <s v="A|B|C"/>
    <n v="3"/>
    <n v="2"/>
    <n v="2"/>
    <n v="0"/>
    <n v="0"/>
    <n v="7"/>
  </r>
  <r>
    <d v="2026-03-22T00:00:00"/>
    <s v="20/03/2026"/>
    <x v="0"/>
    <x v="0"/>
    <x v="5"/>
    <x v="4"/>
    <x v="0"/>
    <x v="0"/>
    <s v="AAD"/>
    <x v="1"/>
    <x v="2"/>
    <n v="27479"/>
    <n v="66"/>
    <n v="16"/>
    <n v="1621.191"/>
    <n v="389.2"/>
    <n v="25"/>
    <n v="8"/>
    <s v="A|B|C"/>
    <n v="7"/>
    <n v="7"/>
    <n v="2"/>
    <n v="0"/>
    <n v="0"/>
    <n v="16"/>
  </r>
  <r>
    <d v="2026-03-22T00:00:00"/>
    <s v="20/03/2026"/>
    <x v="0"/>
    <x v="0"/>
    <x v="6"/>
    <x v="5"/>
    <x v="0"/>
    <x v="0"/>
    <s v="AAD"/>
    <x v="0"/>
    <x v="2"/>
    <n v="27479"/>
    <n v="30"/>
    <n v="6"/>
    <n v="1384.5450000000001"/>
    <n v="53.7"/>
    <n v="0"/>
    <n v="2"/>
    <s v="A|B|C"/>
    <n v="4"/>
    <n v="3"/>
    <n v="1"/>
    <n v="0"/>
    <n v="0"/>
    <n v="8"/>
  </r>
  <r>
    <d v="2026-03-22T00:00:00"/>
    <s v="20/03/2026"/>
    <x v="0"/>
    <x v="0"/>
    <x v="7"/>
    <x v="6"/>
    <x v="0"/>
    <x v="0"/>
    <s v="AAD"/>
    <x v="0"/>
    <x v="2"/>
    <n v="27479"/>
    <n v="31"/>
    <n v="8"/>
    <n v="1423.585"/>
    <n v="93.5"/>
    <n v="30"/>
    <n v="5"/>
    <s v="A|B|C"/>
    <n v="2"/>
    <n v="2"/>
    <n v="1"/>
    <n v="0"/>
    <n v="0"/>
    <n v="5"/>
  </r>
  <r>
    <d v="2026-03-22T00:00:00"/>
    <s v="20/03/2026"/>
    <x v="0"/>
    <x v="0"/>
    <x v="9"/>
    <x v="8"/>
    <x v="0"/>
    <x v="0"/>
    <s v="AAD"/>
    <x v="2"/>
    <x v="2"/>
    <n v="27479"/>
    <n v="68"/>
    <n v="16"/>
    <n v="1250.32"/>
    <n v="315.5"/>
    <n v="20"/>
    <n v="6"/>
    <s v="A|B|C"/>
    <n v="6"/>
    <n v="3"/>
    <n v="4"/>
    <n v="0"/>
    <n v="0"/>
    <n v="13"/>
  </r>
  <r>
    <d v="2026-03-22T00:00:00"/>
    <s v="20/03/2026"/>
    <x v="0"/>
    <x v="0"/>
    <x v="10"/>
    <x v="9"/>
    <x v="0"/>
    <x v="0"/>
    <s v="AAD"/>
    <x v="1"/>
    <x v="2"/>
    <n v="27479"/>
    <n v="41"/>
    <n v="10"/>
    <n v="752.39099999999996"/>
    <n v="83.5"/>
    <n v="20"/>
    <n v="4"/>
    <s v="A|B|C"/>
    <n v="4"/>
    <n v="4"/>
    <n v="0"/>
    <n v="0"/>
    <n v="0"/>
    <n v="8"/>
  </r>
  <r>
    <d v="2026-03-22T00:00:00"/>
    <s v="20/03/2026"/>
    <x v="0"/>
    <x v="0"/>
    <x v="11"/>
    <x v="10"/>
    <x v="0"/>
    <x v="0"/>
    <s v="AAD"/>
    <x v="0"/>
    <x v="2"/>
    <n v="27479"/>
    <n v="88"/>
    <n v="18"/>
    <n v="2615.6280000000002"/>
    <n v="246.5"/>
    <n v="8"/>
    <n v="9"/>
    <s v="A|B|C"/>
    <n v="5"/>
    <n v="7"/>
    <n v="2"/>
    <n v="0"/>
    <n v="0"/>
    <n v="14"/>
  </r>
  <r>
    <d v="2026-03-22T00:00:00"/>
    <s v="20/03/2026"/>
    <x v="0"/>
    <x v="0"/>
    <x v="12"/>
    <x v="11"/>
    <x v="0"/>
    <x v="0"/>
    <s v="AAD"/>
    <x v="0"/>
    <x v="2"/>
    <n v="27479"/>
    <n v="90"/>
    <n v="24"/>
    <n v="3182.8649999999998"/>
    <n v="190.4"/>
    <n v="20"/>
    <n v="9"/>
    <s v="A|B|C"/>
    <n v="9"/>
    <n v="5"/>
    <n v="4"/>
    <n v="0"/>
    <n v="0"/>
    <n v="18"/>
  </r>
  <r>
    <d v="2026-03-22T00:00:00"/>
    <s v="20/03/2026"/>
    <x v="0"/>
    <x v="0"/>
    <x v="13"/>
    <x v="12"/>
    <x v="0"/>
    <x v="0"/>
    <s v="AAD"/>
    <x v="0"/>
    <x v="2"/>
    <n v="27479"/>
    <n v="21"/>
    <n v="6"/>
    <n v="1073.163"/>
    <n v="85.6"/>
    <n v="0"/>
    <n v="4"/>
    <s v="A|B|C"/>
    <n v="3"/>
    <n v="2"/>
    <n v="3"/>
    <n v="0"/>
    <n v="0"/>
    <n v="8"/>
  </r>
  <r>
    <d v="2026-03-22T00:00:00"/>
    <s v="20/03/2026"/>
    <x v="0"/>
    <x v="0"/>
    <x v="14"/>
    <x v="13"/>
    <x v="0"/>
    <x v="0"/>
    <s v="AAD"/>
    <x v="0"/>
    <x v="2"/>
    <n v="27479"/>
    <n v="21"/>
    <n v="6"/>
    <n v="991.62"/>
    <n v="90"/>
    <n v="30"/>
    <n v="2"/>
    <s v="A|B|C"/>
    <n v="1"/>
    <n v="1"/>
    <n v="2"/>
    <n v="0"/>
    <n v="0"/>
    <n v="4"/>
  </r>
  <r>
    <d v="2026-03-22T00:00:00"/>
    <s v="20/03/2026"/>
    <x v="0"/>
    <x v="0"/>
    <x v="16"/>
    <x v="15"/>
    <x v="0"/>
    <x v="0"/>
    <s v="AAD"/>
    <x v="0"/>
    <x v="2"/>
    <n v="27479"/>
    <n v="35"/>
    <n v="8"/>
    <n v="1116.934"/>
    <n v="143.30000000000001"/>
    <n v="29"/>
    <n v="4"/>
    <s v="A|B|C"/>
    <n v="4"/>
    <n v="2"/>
    <n v="2"/>
    <n v="0"/>
    <n v="0"/>
    <n v="8"/>
  </r>
  <r>
    <d v="2026-03-22T00:00:00"/>
    <s v="20/03/2026"/>
    <x v="0"/>
    <x v="0"/>
    <x v="17"/>
    <x v="16"/>
    <x v="0"/>
    <x v="0"/>
    <s v="AAD"/>
    <x v="0"/>
    <x v="2"/>
    <n v="27479"/>
    <n v="52"/>
    <n v="12"/>
    <n v="2036.086"/>
    <n v="170.6"/>
    <n v="30"/>
    <n v="6"/>
    <s v="A|B|C"/>
    <n v="5"/>
    <n v="6"/>
    <n v="2"/>
    <n v="0"/>
    <n v="0"/>
    <n v="13"/>
  </r>
  <r>
    <d v="2026-03-22T00:00:00"/>
    <s v="20/03/2026"/>
    <x v="0"/>
    <x v="0"/>
    <x v="18"/>
    <x v="17"/>
    <x v="0"/>
    <x v="0"/>
    <s v="AAD"/>
    <x v="0"/>
    <x v="2"/>
    <n v="27479"/>
    <n v="98"/>
    <n v="20"/>
    <n v="3239.2429999999999"/>
    <n v="462.6"/>
    <n v="20"/>
    <n v="10"/>
    <s v="A|B|C"/>
    <n v="9"/>
    <n v="6"/>
    <n v="8"/>
    <n v="0"/>
    <n v="0"/>
    <n v="23"/>
  </r>
  <r>
    <d v="2026-03-22T00:00:00"/>
    <s v="20/03/2026"/>
    <x v="0"/>
    <x v="0"/>
    <x v="19"/>
    <x v="18"/>
    <x v="0"/>
    <x v="0"/>
    <s v="AAD"/>
    <x v="0"/>
    <x v="2"/>
    <n v="27479"/>
    <n v="53"/>
    <n v="8"/>
    <n v="1402.6410000000001"/>
    <n v="125.9"/>
    <n v="25"/>
    <n v="4"/>
    <s v="A|B|C"/>
    <n v="4"/>
    <n v="4"/>
    <n v="0"/>
    <n v="0"/>
    <n v="0"/>
    <n v="8"/>
  </r>
  <r>
    <d v="2026-03-22T00:00:00"/>
    <s v="20/03/2026"/>
    <x v="0"/>
    <x v="0"/>
    <x v="20"/>
    <x v="19"/>
    <x v="0"/>
    <x v="0"/>
    <s v="AAD"/>
    <x v="3"/>
    <x v="2"/>
    <n v="27479"/>
    <n v="62"/>
    <n v="12"/>
    <n v="2050.6190000000001"/>
    <n v="297"/>
    <n v="25"/>
    <n v="6"/>
    <s v="A|B|C"/>
    <n v="8"/>
    <n v="4"/>
    <n v="2"/>
    <n v="0"/>
    <n v="0"/>
    <n v="14"/>
  </r>
  <r>
    <d v="2026-03-22T00:00:00"/>
    <s v="20/03/2026"/>
    <x v="0"/>
    <x v="0"/>
    <x v="21"/>
    <x v="20"/>
    <x v="0"/>
    <x v="0"/>
    <s v="AAD"/>
    <x v="0"/>
    <x v="2"/>
    <n v="27479"/>
    <n v="70"/>
    <n v="10"/>
    <n v="856.27499999999998"/>
    <n v="196.2"/>
    <n v="20"/>
    <n v="5"/>
    <s v="A|B|C"/>
    <n v="7"/>
    <n v="1"/>
    <n v="2"/>
    <n v="0"/>
    <n v="0"/>
    <n v="10"/>
  </r>
  <r>
    <d v="2026-03-22T00:00:00"/>
    <s v="20/03/2026"/>
    <x v="0"/>
    <x v="0"/>
    <x v="22"/>
    <x v="21"/>
    <x v="0"/>
    <x v="0"/>
    <s v="AAD"/>
    <x v="0"/>
    <x v="2"/>
    <n v="27479"/>
    <n v="30"/>
    <n v="8"/>
    <n v="925.72500000000002"/>
    <n v="187.6"/>
    <n v="30"/>
    <n v="4"/>
    <s v="A|B|C"/>
    <n v="4"/>
    <n v="4"/>
    <n v="0"/>
    <n v="0"/>
    <n v="0"/>
    <n v="8"/>
  </r>
  <r>
    <d v="2026-03-22T00:00:00"/>
    <s v="20/03/2026"/>
    <x v="0"/>
    <x v="0"/>
    <x v="23"/>
    <x v="22"/>
    <x v="0"/>
    <x v="0"/>
    <s v="AAD"/>
    <x v="2"/>
    <x v="2"/>
    <n v="27479"/>
    <n v="57"/>
    <n v="10"/>
    <n v="971.27099999999996"/>
    <n v="243.7"/>
    <n v="20"/>
    <n v="5"/>
    <s v="A|B|C"/>
    <n v="3"/>
    <n v="3"/>
    <n v="6"/>
    <n v="0"/>
    <n v="0"/>
    <n v="12"/>
  </r>
  <r>
    <d v="2026-03-22T00:00:00"/>
    <s v="20/03/2026"/>
    <x v="0"/>
    <x v="0"/>
    <x v="25"/>
    <x v="24"/>
    <x v="0"/>
    <x v="0"/>
    <s v="AAD"/>
    <x v="0"/>
    <x v="2"/>
    <n v="27479"/>
    <n v="78"/>
    <n v="16"/>
    <n v="1851.7"/>
    <n v="432.3"/>
    <n v="20"/>
    <n v="7"/>
    <s v="A|B|C"/>
    <n v="9"/>
    <n v="4"/>
    <n v="6"/>
    <n v="0"/>
    <n v="0"/>
    <n v="19"/>
  </r>
  <r>
    <d v="2026-03-22T00:00:00"/>
    <s v="20/03/2026"/>
    <x v="0"/>
    <x v="0"/>
    <x v="26"/>
    <x v="25"/>
    <x v="0"/>
    <x v="0"/>
    <s v="AAD"/>
    <x v="1"/>
    <x v="2"/>
    <n v="27479"/>
    <n v="26"/>
    <n v="4"/>
    <n v="513.34400000000005"/>
    <n v="93.8"/>
    <n v="35"/>
    <n v="2"/>
    <s v="A|B|C"/>
    <n v="2"/>
    <n v="2"/>
    <n v="0"/>
    <n v="0"/>
    <n v="0"/>
    <n v="4"/>
  </r>
  <r>
    <d v="2026-03-22T00:00:00"/>
    <s v="20/03/2026"/>
    <x v="0"/>
    <x v="0"/>
    <x v="27"/>
    <x v="26"/>
    <x v="0"/>
    <x v="0"/>
    <s v="AAD"/>
    <x v="0"/>
    <x v="2"/>
    <n v="27479"/>
    <n v="38"/>
    <n v="8"/>
    <n v="778.86099999999999"/>
    <n v="196"/>
    <n v="35"/>
    <n v="4"/>
    <s v="A|B|C"/>
    <n v="3"/>
    <n v="4"/>
    <n v="0"/>
    <n v="0"/>
    <n v="0"/>
    <n v="7"/>
  </r>
  <r>
    <d v="2026-03-22T00:00:00"/>
    <s v="20/03/2026"/>
    <x v="0"/>
    <x v="2"/>
    <x v="28"/>
    <x v="27"/>
    <x v="0"/>
    <x v="0"/>
    <s v="AAD"/>
    <x v="0"/>
    <x v="2"/>
    <n v="27479"/>
    <n v="6"/>
    <n v="6"/>
    <n v="65.400000000000006"/>
    <n v="170.7"/>
    <n v="420"/>
    <n v="1"/>
    <s v="A|B|C"/>
    <n v="1"/>
    <n v="1"/>
    <n v="1"/>
    <n v="0"/>
    <n v="0"/>
    <n v="3"/>
  </r>
  <r>
    <d v="2026-03-22T00:00:00"/>
    <s v="20/03/2026"/>
    <x v="0"/>
    <x v="3"/>
    <x v="30"/>
    <x v="29"/>
    <x v="0"/>
    <x v="0"/>
    <s v="AAD"/>
    <x v="0"/>
    <x v="2"/>
    <n v="27479"/>
    <n v="29"/>
    <n v="4"/>
    <n v="786.53800000000001"/>
    <n v="18.5"/>
    <n v="30"/>
    <n v="2"/>
    <s v="A|B|C"/>
    <n v="1"/>
    <n v="2"/>
    <n v="1"/>
    <n v="0"/>
    <n v="0"/>
    <n v="4"/>
  </r>
  <r>
    <d v="2026-03-22T00:00:00"/>
    <s v="20/03/2026"/>
    <x v="0"/>
    <x v="3"/>
    <x v="31"/>
    <x v="30"/>
    <x v="0"/>
    <x v="0"/>
    <s v="AAD"/>
    <x v="0"/>
    <x v="2"/>
    <n v="27479"/>
    <n v="36"/>
    <n v="6"/>
    <n v="560.39700000000005"/>
    <n v="155.6"/>
    <n v="25"/>
    <n v="3"/>
    <s v="A|B|C"/>
    <n v="3"/>
    <n v="2"/>
    <n v="1"/>
    <n v="0"/>
    <n v="0"/>
    <n v="6"/>
  </r>
  <r>
    <d v="2026-03-22T00:00:00"/>
    <s v="20/03/2026"/>
    <x v="0"/>
    <x v="3"/>
    <x v="32"/>
    <x v="31"/>
    <x v="0"/>
    <x v="0"/>
    <s v="AAD"/>
    <x v="1"/>
    <x v="2"/>
    <n v="27479"/>
    <n v="36"/>
    <n v="7"/>
    <n v="911.80799999999999"/>
    <n v="108.726"/>
    <n v="55"/>
    <n v="3"/>
    <s v="A|B|C"/>
    <n v="2"/>
    <n v="2"/>
    <n v="0"/>
    <n v="0"/>
    <n v="0"/>
    <n v="4"/>
  </r>
  <r>
    <d v="2026-03-22T00:00:00"/>
    <s v="20/03/2026"/>
    <x v="0"/>
    <x v="3"/>
    <x v="33"/>
    <x v="32"/>
    <x v="0"/>
    <x v="0"/>
    <s v="AAD"/>
    <x v="1"/>
    <x v="2"/>
    <n v="27479"/>
    <n v="42"/>
    <n v="5"/>
    <n v="414.44"/>
    <n v="50.996000000000002"/>
    <n v="20"/>
    <n v="2"/>
    <s v="A|B|C"/>
    <n v="2"/>
    <n v="3"/>
    <n v="0"/>
    <n v="0"/>
    <n v="0"/>
    <n v="5"/>
  </r>
  <r>
    <d v="2026-03-22T00:00:00"/>
    <s v="20/03/2026"/>
    <x v="0"/>
    <x v="3"/>
    <x v="34"/>
    <x v="33"/>
    <x v="0"/>
    <x v="0"/>
    <s v="AAD"/>
    <x v="0"/>
    <x v="2"/>
    <n v="27479"/>
    <n v="64"/>
    <n v="10"/>
    <n v="1654.0530000000001"/>
    <n v="110.895"/>
    <n v="34"/>
    <n v="5"/>
    <s v="A|B|C"/>
    <n v="6"/>
    <n v="3"/>
    <n v="3"/>
    <n v="0"/>
    <n v="0"/>
    <n v="12"/>
  </r>
  <r>
    <d v="2026-03-22T00:00:00"/>
    <s v="20/03/2026"/>
    <x v="0"/>
    <x v="3"/>
    <x v="35"/>
    <x v="34"/>
    <x v="0"/>
    <x v="0"/>
    <s v="AAD"/>
    <x v="3"/>
    <x v="2"/>
    <n v="27479"/>
    <n v="110"/>
    <n v="9"/>
    <n v="545.64400000000001"/>
    <n v="231"/>
    <n v="15"/>
    <n v="4"/>
    <s v="A|B|C"/>
    <n v="3"/>
    <n v="4"/>
    <n v="1"/>
    <n v="0"/>
    <n v="0"/>
    <n v="8"/>
  </r>
  <r>
    <d v="2026-03-22T00:00:00"/>
    <s v="20/03/2026"/>
    <x v="0"/>
    <x v="3"/>
    <x v="36"/>
    <x v="35"/>
    <x v="0"/>
    <x v="0"/>
    <s v="AAD"/>
    <x v="3"/>
    <x v="2"/>
    <n v="27479"/>
    <n v="109"/>
    <n v="7"/>
    <n v="598.875"/>
    <n v="170.4"/>
    <n v="20"/>
    <n v="4"/>
    <s v="A|B|C"/>
    <n v="3"/>
    <n v="3"/>
    <n v="2"/>
    <n v="0"/>
    <n v="0"/>
    <n v="8"/>
  </r>
  <r>
    <d v="2026-03-22T00:00:00"/>
    <s v="20/03/2026"/>
    <x v="0"/>
    <x v="3"/>
    <x v="37"/>
    <x v="36"/>
    <x v="0"/>
    <x v="0"/>
    <s v="AAD"/>
    <x v="0"/>
    <x v="2"/>
    <n v="27479"/>
    <n v="64"/>
    <n v="12"/>
    <n v="1152"/>
    <n v="216"/>
    <n v="30"/>
    <n v="6"/>
    <s v="A|B|C"/>
    <n v="5"/>
    <n v="6"/>
    <n v="0"/>
    <n v="0"/>
    <n v="0"/>
    <n v="11"/>
  </r>
  <r>
    <d v="2026-03-22T00:00:00"/>
    <s v="20/03/2026"/>
    <x v="0"/>
    <x v="3"/>
    <x v="38"/>
    <x v="37"/>
    <x v="0"/>
    <x v="0"/>
    <s v="AAD"/>
    <x v="1"/>
    <x v="2"/>
    <n v="27479"/>
    <n v="65"/>
    <n v="6"/>
    <n v="668.99900000000002"/>
    <n v="94.4"/>
    <n v="30"/>
    <n v="3"/>
    <s v="A|B|C"/>
    <n v="3"/>
    <n v="2"/>
    <n v="1"/>
    <n v="0"/>
    <n v="0"/>
    <n v="6"/>
  </r>
  <r>
    <d v="2026-03-22T00:00:00"/>
    <s v="20/03/2026"/>
    <x v="0"/>
    <x v="3"/>
    <x v="39"/>
    <x v="38"/>
    <x v="0"/>
    <x v="0"/>
    <s v="AAD"/>
    <x v="0"/>
    <x v="2"/>
    <n v="27479"/>
    <n v="33"/>
    <n v="3"/>
    <n v="550.78499999999997"/>
    <n v="22.6"/>
    <n v="30"/>
    <n v="1"/>
    <s v="A|B|C"/>
    <n v="1"/>
    <n v="0"/>
    <n v="1"/>
    <n v="0"/>
    <n v="0"/>
    <n v="2"/>
  </r>
  <r>
    <d v="2026-03-22T00:00:00"/>
    <s v="20/03/2026"/>
    <x v="0"/>
    <x v="3"/>
    <x v="40"/>
    <x v="39"/>
    <x v="0"/>
    <x v="0"/>
    <s v="AAD"/>
    <x v="0"/>
    <x v="2"/>
    <n v="27479"/>
    <n v="33"/>
    <n v="5"/>
    <n v="859.452"/>
    <n v="53.6"/>
    <n v="30"/>
    <n v="3"/>
    <s v="A|B|C"/>
    <n v="2"/>
    <n v="2"/>
    <n v="0"/>
    <n v="0"/>
    <n v="0"/>
    <n v="4"/>
  </r>
  <r>
    <d v="2026-03-22T00:00:00"/>
    <s v="20/03/2026"/>
    <x v="0"/>
    <x v="3"/>
    <x v="41"/>
    <x v="40"/>
    <x v="0"/>
    <x v="0"/>
    <s v="AAD"/>
    <x v="0"/>
    <x v="2"/>
    <n v="27479"/>
    <n v="66"/>
    <n v="10"/>
    <n v="1194.4680000000001"/>
    <n v="178"/>
    <n v="30"/>
    <n v="5"/>
    <s v="A|B|C"/>
    <n v="5"/>
    <n v="3"/>
    <n v="2"/>
    <n v="0"/>
    <n v="0"/>
    <n v="10"/>
  </r>
  <r>
    <d v="2026-03-22T00:00:00"/>
    <s v="20/03/2026"/>
    <x v="0"/>
    <x v="3"/>
    <x v="42"/>
    <x v="41"/>
    <x v="0"/>
    <x v="0"/>
    <s v="AAD"/>
    <x v="0"/>
    <x v="2"/>
    <n v="27479"/>
    <n v="13"/>
    <n v="2"/>
    <n v="86.593000000000004"/>
    <n v="50"/>
    <n v="30"/>
    <n v="1"/>
    <s v="A|B|C"/>
    <n v="1"/>
    <n v="0"/>
    <n v="1"/>
    <n v="0"/>
    <n v="0"/>
    <n v="2"/>
  </r>
  <r>
    <d v="2026-03-22T00:00:00"/>
    <s v="20/03/2026"/>
    <x v="0"/>
    <x v="3"/>
    <x v="43"/>
    <x v="42"/>
    <x v="0"/>
    <x v="0"/>
    <s v="AAD"/>
    <x v="1"/>
    <x v="2"/>
    <n v="27479"/>
    <n v="26"/>
    <n v="6"/>
    <n v="356.87599999999998"/>
    <n v="157.80000000000001"/>
    <n v="18"/>
    <n v="3"/>
    <s v="A|B|C"/>
    <n v="2"/>
    <n v="3"/>
    <n v="0"/>
    <n v="0"/>
    <n v="0"/>
    <n v="5"/>
  </r>
  <r>
    <d v="2026-03-22T00:00:00"/>
    <s v="20/03/2026"/>
    <x v="0"/>
    <x v="1"/>
    <x v="47"/>
    <x v="46"/>
    <x v="0"/>
    <x v="0"/>
    <s v="AAD"/>
    <x v="0"/>
    <x v="2"/>
    <n v="27479"/>
    <n v="42"/>
    <n v="10"/>
    <n v="1302.5840000000001"/>
    <n v="171.2"/>
    <n v="25"/>
    <n v="5"/>
    <s v="A|B|C"/>
    <n v="5"/>
    <n v="4"/>
    <n v="1"/>
    <n v="0"/>
    <n v="0"/>
    <n v="10"/>
  </r>
  <r>
    <d v="2026-03-22T00:00:00"/>
    <s v="20/03/2026"/>
    <x v="0"/>
    <x v="1"/>
    <x v="44"/>
    <x v="43"/>
    <x v="0"/>
    <x v="0"/>
    <s v="AAD"/>
    <x v="3"/>
    <x v="2"/>
    <n v="27479"/>
    <n v="46"/>
    <n v="10"/>
    <n v="1421.5360000000001"/>
    <n v="146.30000000000001"/>
    <n v="30"/>
    <n v="5"/>
    <s v="A|B|C"/>
    <n v="5"/>
    <n v="5"/>
    <n v="0"/>
    <n v="0"/>
    <n v="0"/>
    <n v="10"/>
  </r>
  <r>
    <d v="2026-03-22T00:00:00"/>
    <s v="20/03/2026"/>
    <x v="0"/>
    <x v="1"/>
    <x v="45"/>
    <x v="44"/>
    <x v="0"/>
    <x v="0"/>
    <s v="AAD"/>
    <x v="0"/>
    <x v="2"/>
    <n v="27479"/>
    <n v="28"/>
    <n v="12"/>
    <n v="814.89800000000002"/>
    <n v="286"/>
    <n v="30"/>
    <n v="5"/>
    <s v="A|B|C"/>
    <n v="0"/>
    <n v="6"/>
    <n v="1"/>
    <n v="0"/>
    <n v="0"/>
    <n v="7"/>
  </r>
  <r>
    <d v="2026-03-23T00:00:00"/>
    <s v="20/03/2026"/>
    <x v="0"/>
    <x v="0"/>
    <x v="0"/>
    <x v="0"/>
    <x v="0"/>
    <x v="0"/>
    <s v="AAD"/>
    <x v="0"/>
    <x v="3"/>
    <n v="27480"/>
    <n v="51"/>
    <n v="14"/>
    <n v="1911.6659999999999"/>
    <n v="409.9"/>
    <n v="25"/>
    <n v="7"/>
    <s v="A|B|C"/>
    <n v="10"/>
    <n v="3"/>
    <n v="4"/>
    <n v="0"/>
    <n v="0"/>
    <n v="17"/>
  </r>
  <r>
    <d v="2026-03-23T00:00:00"/>
    <s v="20/03/2026"/>
    <x v="0"/>
    <x v="0"/>
    <x v="1"/>
    <x v="1"/>
    <x v="0"/>
    <x v="0"/>
    <s v="AAD"/>
    <x v="1"/>
    <x v="3"/>
    <n v="27480"/>
    <n v="65"/>
    <n v="12"/>
    <n v="1763.7439999999999"/>
    <n v="101.2"/>
    <n v="25"/>
    <n v="4"/>
    <s v="A|B|C"/>
    <n v="5"/>
    <n v="4"/>
    <n v="1"/>
    <n v="0"/>
    <n v="0"/>
    <n v="10"/>
  </r>
  <r>
    <d v="2026-03-23T00:00:00"/>
    <s v="20/03/2026"/>
    <x v="0"/>
    <x v="0"/>
    <x v="3"/>
    <x v="2"/>
    <x v="0"/>
    <x v="0"/>
    <s v="AAD"/>
    <x v="2"/>
    <x v="3"/>
    <n v="27480"/>
    <n v="129"/>
    <n v="34"/>
    <n v="2206.1379999999999"/>
    <n v="707.3"/>
    <n v="15"/>
    <n v="15"/>
    <s v="A|B|C"/>
    <n v="12"/>
    <n v="15"/>
    <n v="0"/>
    <n v="0"/>
    <n v="0"/>
    <n v="27"/>
  </r>
  <r>
    <d v="2026-03-23T00:00:00"/>
    <s v="20/03/2026"/>
    <x v="0"/>
    <x v="0"/>
    <x v="4"/>
    <x v="3"/>
    <x v="0"/>
    <x v="0"/>
    <s v="AAD"/>
    <x v="1"/>
    <x v="3"/>
    <n v="27480"/>
    <n v="35"/>
    <n v="8"/>
    <n v="1072.6569999999999"/>
    <n v="110.1"/>
    <n v="70"/>
    <n v="3"/>
    <s v="A|B|C"/>
    <n v="5"/>
    <n v="1"/>
    <n v="2"/>
    <n v="0"/>
    <n v="0"/>
    <n v="8"/>
  </r>
  <r>
    <d v="2026-03-23T00:00:00"/>
    <s v="20/03/2026"/>
    <x v="0"/>
    <x v="0"/>
    <x v="5"/>
    <x v="4"/>
    <x v="0"/>
    <x v="0"/>
    <s v="AAD"/>
    <x v="1"/>
    <x v="3"/>
    <n v="27480"/>
    <n v="80"/>
    <n v="26"/>
    <n v="1966.3510000000001"/>
    <n v="590"/>
    <n v="20"/>
    <n v="12"/>
    <s v="A|B|C"/>
    <n v="11"/>
    <n v="11"/>
    <n v="1"/>
    <n v="0"/>
    <n v="0"/>
    <n v="23"/>
  </r>
  <r>
    <d v="2026-03-23T00:00:00"/>
    <s v="20/03/2026"/>
    <x v="0"/>
    <x v="0"/>
    <x v="6"/>
    <x v="5"/>
    <x v="0"/>
    <x v="0"/>
    <s v="AAD"/>
    <x v="0"/>
    <x v="3"/>
    <n v="27480"/>
    <n v="21"/>
    <n v="10"/>
    <n v="969.18200000000002"/>
    <n v="28.6"/>
    <n v="0"/>
    <n v="1"/>
    <s v="A|B|C"/>
    <n v="5"/>
    <n v="4"/>
    <n v="1"/>
    <n v="0"/>
    <n v="0"/>
    <n v="10"/>
  </r>
  <r>
    <d v="2026-03-23T00:00:00"/>
    <s v="20/03/2026"/>
    <x v="0"/>
    <x v="0"/>
    <x v="7"/>
    <x v="6"/>
    <x v="0"/>
    <x v="0"/>
    <s v="AAD"/>
    <x v="0"/>
    <x v="3"/>
    <n v="27480"/>
    <n v="21"/>
    <n v="10"/>
    <n v="964.36400000000003"/>
    <n v="51.7"/>
    <n v="30"/>
    <n v="4"/>
    <s v="A|B|C"/>
    <n v="0"/>
    <n v="1"/>
    <n v="1"/>
    <n v="0"/>
    <n v="0"/>
    <n v="2"/>
  </r>
  <r>
    <d v="2026-03-23T00:00:00"/>
    <s v="20/03/2026"/>
    <x v="0"/>
    <x v="0"/>
    <x v="8"/>
    <x v="7"/>
    <x v="0"/>
    <x v="0"/>
    <s v="AAD"/>
    <x v="0"/>
    <x v="3"/>
    <n v="27480"/>
    <n v="50"/>
    <n v="10"/>
    <n v="757.80799999999999"/>
    <n v="209.79"/>
    <n v="20"/>
    <n v="4"/>
    <s v="A|B|C"/>
    <n v="4"/>
    <n v="4"/>
    <n v="0"/>
    <n v="0"/>
    <n v="0"/>
    <n v="8"/>
  </r>
  <r>
    <d v="2026-03-23T00:00:00"/>
    <s v="20/03/2026"/>
    <x v="0"/>
    <x v="0"/>
    <x v="9"/>
    <x v="8"/>
    <x v="0"/>
    <x v="0"/>
    <s v="AAD"/>
    <x v="2"/>
    <x v="3"/>
    <n v="27480"/>
    <n v="121"/>
    <n v="42"/>
    <n v="2221.223"/>
    <n v="822.85"/>
    <n v="12"/>
    <n v="15"/>
    <s v="A|B|C"/>
    <n v="12"/>
    <n v="15"/>
    <n v="0"/>
    <n v="0"/>
    <n v="0"/>
    <n v="27"/>
  </r>
  <r>
    <d v="2026-03-23T00:00:00"/>
    <s v="20/03/2026"/>
    <x v="0"/>
    <x v="0"/>
    <x v="10"/>
    <x v="9"/>
    <x v="0"/>
    <x v="0"/>
    <s v="AAD"/>
    <x v="1"/>
    <x v="3"/>
    <n v="27480"/>
    <n v="41"/>
    <n v="10"/>
    <n v="752.39099999999996"/>
    <n v="83.5"/>
    <n v="20"/>
    <n v="4"/>
    <s v="A|B|C"/>
    <n v="4"/>
    <n v="4"/>
    <n v="0"/>
    <n v="0"/>
    <n v="0"/>
    <n v="8"/>
  </r>
  <r>
    <d v="2026-03-23T00:00:00"/>
    <s v="20/03/2026"/>
    <x v="0"/>
    <x v="0"/>
    <x v="11"/>
    <x v="10"/>
    <x v="0"/>
    <x v="0"/>
    <s v="AAD"/>
    <x v="0"/>
    <x v="3"/>
    <n v="27480"/>
    <n v="124"/>
    <n v="42"/>
    <n v="3586.8209999999999"/>
    <n v="364.8"/>
    <n v="6"/>
    <n v="13"/>
    <s v="A|B|C"/>
    <n v="13"/>
    <n v="11"/>
    <n v="2"/>
    <n v="0"/>
    <n v="0"/>
    <n v="26"/>
  </r>
  <r>
    <d v="2026-03-23T00:00:00"/>
    <s v="20/03/2026"/>
    <x v="0"/>
    <x v="0"/>
    <x v="12"/>
    <x v="11"/>
    <x v="0"/>
    <x v="0"/>
    <s v="AAD"/>
    <x v="0"/>
    <x v="3"/>
    <n v="27480"/>
    <n v="159"/>
    <n v="48"/>
    <n v="5614.3739999999998"/>
    <n v="470.1"/>
    <n v="12"/>
    <n v="17"/>
    <s v="A|B|C"/>
    <n v="17"/>
    <n v="16"/>
    <n v="1"/>
    <n v="0"/>
    <n v="0"/>
    <n v="34"/>
  </r>
  <r>
    <d v="2026-03-23T00:00:00"/>
    <s v="20/03/2026"/>
    <x v="0"/>
    <x v="0"/>
    <x v="13"/>
    <x v="12"/>
    <x v="0"/>
    <x v="0"/>
    <s v="AAD"/>
    <x v="0"/>
    <x v="3"/>
    <n v="27480"/>
    <n v="18"/>
    <n v="4"/>
    <n v="919.85400000000004"/>
    <n v="54.4"/>
    <n v="0"/>
    <n v="3"/>
    <s v="A|B|C"/>
    <n v="3"/>
    <n v="3"/>
    <n v="0"/>
    <n v="0"/>
    <n v="0"/>
    <n v="6"/>
  </r>
  <r>
    <d v="2026-03-23T00:00:00"/>
    <s v="20/03/2026"/>
    <x v="0"/>
    <x v="0"/>
    <x v="14"/>
    <x v="13"/>
    <x v="0"/>
    <x v="0"/>
    <s v="AAD"/>
    <x v="0"/>
    <x v="3"/>
    <n v="27480"/>
    <n v="19"/>
    <n v="6"/>
    <n v="897.18"/>
    <n v="90"/>
    <n v="25"/>
    <n v="2"/>
    <s v="A|B|C"/>
    <n v="2"/>
    <n v="2"/>
    <n v="0"/>
    <n v="0"/>
    <n v="0"/>
    <n v="4"/>
  </r>
  <r>
    <d v="2026-03-23T00:00:00"/>
    <s v="20/03/2026"/>
    <x v="0"/>
    <x v="0"/>
    <x v="16"/>
    <x v="15"/>
    <x v="0"/>
    <x v="0"/>
    <s v="AAD"/>
    <x v="0"/>
    <x v="3"/>
    <n v="27480"/>
    <n v="59"/>
    <n v="24"/>
    <n v="1878.3989999999999"/>
    <n v="360.9"/>
    <n v="30"/>
    <n v="8"/>
    <s v="A|B|C"/>
    <n v="9"/>
    <n v="6"/>
    <n v="2"/>
    <n v="0"/>
    <n v="0"/>
    <n v="17"/>
  </r>
  <r>
    <d v="2026-03-23T00:00:00"/>
    <s v="20/03/2026"/>
    <x v="0"/>
    <x v="0"/>
    <x v="17"/>
    <x v="16"/>
    <x v="0"/>
    <x v="0"/>
    <s v="AAD"/>
    <x v="0"/>
    <x v="3"/>
    <n v="27480"/>
    <n v="86"/>
    <n v="28"/>
    <n v="3368.56"/>
    <n v="430.15"/>
    <n v="20"/>
    <n v="12"/>
    <s v="A|B|C"/>
    <n v="10"/>
    <n v="11"/>
    <n v="2"/>
    <n v="0"/>
    <n v="0"/>
    <n v="23"/>
  </r>
  <r>
    <d v="2026-03-23T00:00:00"/>
    <s v="20/03/2026"/>
    <x v="0"/>
    <x v="0"/>
    <x v="18"/>
    <x v="17"/>
    <x v="0"/>
    <x v="0"/>
    <s v="AAD"/>
    <x v="0"/>
    <x v="3"/>
    <n v="27480"/>
    <n v="86"/>
    <n v="24"/>
    <n v="2842.6010000000001"/>
    <n v="447.1"/>
    <n v="20"/>
    <n v="12"/>
    <s v="A|B|C"/>
    <n v="9"/>
    <n v="12"/>
    <n v="5"/>
    <n v="0"/>
    <n v="0"/>
    <n v="26"/>
  </r>
  <r>
    <d v="2026-03-23T00:00:00"/>
    <s v="20/03/2026"/>
    <x v="0"/>
    <x v="0"/>
    <x v="19"/>
    <x v="18"/>
    <x v="0"/>
    <x v="0"/>
    <s v="AAD"/>
    <x v="0"/>
    <x v="3"/>
    <n v="27480"/>
    <n v="60"/>
    <n v="18"/>
    <n v="1590.481"/>
    <n v="162.80000000000001"/>
    <n v="25"/>
    <n v="7"/>
    <s v="A|B|C"/>
    <n v="6"/>
    <n v="7"/>
    <n v="0"/>
    <n v="0"/>
    <n v="0"/>
    <n v="13"/>
  </r>
  <r>
    <d v="2026-03-23T00:00:00"/>
    <s v="20/03/2026"/>
    <x v="0"/>
    <x v="0"/>
    <x v="20"/>
    <x v="19"/>
    <x v="0"/>
    <x v="0"/>
    <s v="AAD"/>
    <x v="3"/>
    <x v="3"/>
    <n v="27480"/>
    <n v="88"/>
    <n v="44"/>
    <n v="2910.556"/>
    <n v="803.58600000000001"/>
    <n v="15"/>
    <n v="14"/>
    <s v="A|B|C"/>
    <n v="15"/>
    <n v="9"/>
    <n v="4"/>
    <n v="0"/>
    <n v="0"/>
    <n v="28"/>
  </r>
  <r>
    <d v="2026-03-23T00:00:00"/>
    <s v="20/03/2026"/>
    <x v="0"/>
    <x v="0"/>
    <x v="21"/>
    <x v="20"/>
    <x v="0"/>
    <x v="0"/>
    <s v="AAD"/>
    <x v="0"/>
    <x v="3"/>
    <n v="27480"/>
    <n v="87"/>
    <n v="18"/>
    <n v="1064.152"/>
    <n v="351.4"/>
    <n v="20"/>
    <n v="7"/>
    <s v="A|B|C"/>
    <n v="6"/>
    <n v="7"/>
    <n v="0"/>
    <n v="0"/>
    <n v="0"/>
    <n v="13"/>
  </r>
  <r>
    <d v="2026-03-23T00:00:00"/>
    <s v="20/03/2026"/>
    <x v="0"/>
    <x v="0"/>
    <x v="22"/>
    <x v="21"/>
    <x v="0"/>
    <x v="0"/>
    <s v="AAD"/>
    <x v="0"/>
    <x v="3"/>
    <n v="27480"/>
    <n v="36"/>
    <n v="10"/>
    <n v="1109.3710000000001"/>
    <n v="271.3"/>
    <n v="25"/>
    <n v="5"/>
    <s v="A|B|C"/>
    <n v="5"/>
    <n v="5"/>
    <n v="0"/>
    <n v="0"/>
    <n v="0"/>
    <n v="10"/>
  </r>
  <r>
    <d v="2026-03-23T00:00:00"/>
    <s v="20/03/2026"/>
    <x v="0"/>
    <x v="0"/>
    <x v="23"/>
    <x v="22"/>
    <x v="0"/>
    <x v="0"/>
    <s v="AAD"/>
    <x v="2"/>
    <x v="3"/>
    <n v="27480"/>
    <n v="67"/>
    <n v="10"/>
    <n v="1141.4760000000001"/>
    <n v="243.7"/>
    <n v="15"/>
    <n v="5"/>
    <s v="A|B|C"/>
    <n v="7"/>
    <n v="3"/>
    <n v="5"/>
    <n v="0"/>
    <n v="0"/>
    <n v="15"/>
  </r>
  <r>
    <d v="2026-03-23T00:00:00"/>
    <s v="20/03/2026"/>
    <x v="0"/>
    <x v="0"/>
    <x v="25"/>
    <x v="24"/>
    <x v="0"/>
    <x v="0"/>
    <s v="AAD"/>
    <x v="0"/>
    <x v="3"/>
    <n v="27480"/>
    <n v="86"/>
    <n v="20"/>
    <n v="2041.6189999999999"/>
    <n v="568.75"/>
    <n v="15"/>
    <n v="10"/>
    <s v="A|B|C"/>
    <n v="11"/>
    <n v="8"/>
    <n v="4"/>
    <n v="0"/>
    <n v="0"/>
    <n v="23"/>
  </r>
  <r>
    <d v="2026-03-23T00:00:00"/>
    <s v="20/03/2026"/>
    <x v="0"/>
    <x v="0"/>
    <x v="26"/>
    <x v="25"/>
    <x v="0"/>
    <x v="0"/>
    <s v="AAD"/>
    <x v="1"/>
    <x v="3"/>
    <n v="27480"/>
    <n v="27"/>
    <n v="6"/>
    <n v="533.08799999999997"/>
    <n v="140.69999999999999"/>
    <n v="30"/>
    <n v="3"/>
    <s v="A|B|C"/>
    <n v="2"/>
    <n v="3"/>
    <n v="0"/>
    <n v="0"/>
    <n v="0"/>
    <n v="5"/>
  </r>
  <r>
    <d v="2026-03-23T00:00:00"/>
    <s v="20/03/2026"/>
    <x v="0"/>
    <x v="0"/>
    <x v="27"/>
    <x v="26"/>
    <x v="0"/>
    <x v="0"/>
    <s v="AAD"/>
    <x v="0"/>
    <x v="3"/>
    <n v="27480"/>
    <n v="22"/>
    <n v="4"/>
    <n v="447.214"/>
    <n v="97.6"/>
    <n v="35"/>
    <n v="2"/>
    <s v="A|B|C"/>
    <n v="2"/>
    <n v="2"/>
    <n v="2"/>
    <n v="0"/>
    <n v="0"/>
    <n v="6"/>
  </r>
  <r>
    <d v="2026-03-23T00:00:00"/>
    <s v="20/03/2026"/>
    <x v="0"/>
    <x v="2"/>
    <x v="28"/>
    <x v="27"/>
    <x v="0"/>
    <x v="0"/>
    <s v="AAD"/>
    <x v="0"/>
    <x v="3"/>
    <n v="27480"/>
    <n v="6"/>
    <n v="6"/>
    <n v="65.400000000000006"/>
    <n v="170.7"/>
    <n v="420"/>
    <n v="1"/>
    <s v="A|B|C"/>
    <n v="1"/>
    <n v="1"/>
    <n v="1"/>
    <n v="0"/>
    <n v="0"/>
    <n v="3"/>
  </r>
  <r>
    <d v="2026-03-23T00:00:00"/>
    <s v="20/03/2026"/>
    <x v="0"/>
    <x v="3"/>
    <x v="30"/>
    <x v="29"/>
    <x v="0"/>
    <x v="0"/>
    <s v="AAD"/>
    <x v="0"/>
    <x v="3"/>
    <n v="27480"/>
    <n v="32"/>
    <n v="5"/>
    <n v="867.904"/>
    <n v="18.399999999999999"/>
    <n v="30"/>
    <n v="1"/>
    <s v="A|B|C"/>
    <n v="1"/>
    <n v="1"/>
    <n v="0"/>
    <n v="0"/>
    <n v="0"/>
    <n v="2"/>
  </r>
  <r>
    <d v="2026-03-23T00:00:00"/>
    <s v="20/03/2026"/>
    <x v="0"/>
    <x v="3"/>
    <x v="31"/>
    <x v="30"/>
    <x v="0"/>
    <x v="0"/>
    <s v="AAD"/>
    <x v="0"/>
    <x v="3"/>
    <n v="27480"/>
    <n v="54"/>
    <n v="16"/>
    <n v="828.04499999999996"/>
    <n v="374.6"/>
    <n v="15"/>
    <n v="7"/>
    <s v="A|B|C"/>
    <n v="5"/>
    <n v="4"/>
    <n v="4"/>
    <n v="0"/>
    <n v="0"/>
    <n v="13"/>
  </r>
  <r>
    <d v="2026-03-23T00:00:00"/>
    <s v="20/03/2026"/>
    <x v="0"/>
    <x v="3"/>
    <x v="32"/>
    <x v="31"/>
    <x v="0"/>
    <x v="0"/>
    <s v="AAD"/>
    <x v="1"/>
    <x v="3"/>
    <n v="27480"/>
    <n v="79"/>
    <n v="19"/>
    <n v="1999.877"/>
    <n v="231.1"/>
    <n v="20"/>
    <n v="9"/>
    <s v="A|B|C"/>
    <n v="5"/>
    <n v="2"/>
    <n v="2"/>
    <n v="0"/>
    <n v="0"/>
    <n v="9"/>
  </r>
  <r>
    <d v="2026-03-23T00:00:00"/>
    <s v="20/03/2026"/>
    <x v="0"/>
    <x v="3"/>
    <x v="33"/>
    <x v="32"/>
    <x v="0"/>
    <x v="0"/>
    <s v="AAD"/>
    <x v="1"/>
    <x v="3"/>
    <n v="27480"/>
    <n v="77"/>
    <n v="13"/>
    <n v="764.125"/>
    <n v="132.4"/>
    <n v="10"/>
    <n v="3"/>
    <s v="A|B|C"/>
    <n v="8"/>
    <n v="8"/>
    <n v="0"/>
    <n v="0"/>
    <n v="0"/>
    <n v="16"/>
  </r>
  <r>
    <d v="2026-03-23T00:00:00"/>
    <s v="20/03/2026"/>
    <x v="0"/>
    <x v="3"/>
    <x v="34"/>
    <x v="33"/>
    <x v="0"/>
    <x v="0"/>
    <s v="AAD"/>
    <x v="0"/>
    <x v="3"/>
    <n v="27480"/>
    <n v="74"/>
    <n v="10"/>
    <n v="1935.8620000000001"/>
    <n v="91.6"/>
    <n v="30"/>
    <n v="5"/>
    <s v="A|B|C"/>
    <n v="10"/>
    <n v="5"/>
    <n v="4"/>
    <n v="0"/>
    <n v="0"/>
    <n v="19"/>
  </r>
  <r>
    <d v="2026-03-23T00:00:00"/>
    <s v="20/03/2026"/>
    <x v="0"/>
    <x v="3"/>
    <x v="35"/>
    <x v="34"/>
    <x v="0"/>
    <x v="0"/>
    <s v="AAD"/>
    <x v="3"/>
    <x v="3"/>
    <n v="27480"/>
    <n v="187"/>
    <n v="21"/>
    <n v="927.41"/>
    <n v="389.1"/>
    <n v="10"/>
    <n v="7"/>
    <s v="A|B|C"/>
    <n v="7"/>
    <n v="7"/>
    <n v="0"/>
    <n v="0"/>
    <n v="0"/>
    <n v="14"/>
  </r>
  <r>
    <d v="2026-03-23T00:00:00"/>
    <s v="20/03/2026"/>
    <x v="0"/>
    <x v="3"/>
    <x v="36"/>
    <x v="35"/>
    <x v="0"/>
    <x v="0"/>
    <s v="AAD"/>
    <x v="3"/>
    <x v="3"/>
    <n v="27480"/>
    <n v="219"/>
    <n v="28"/>
    <n v="1202.6099999999999"/>
    <n v="489.6"/>
    <n v="8"/>
    <n v="9"/>
    <s v="A|B|C"/>
    <n v="9"/>
    <n v="7"/>
    <n v="2"/>
    <n v="0"/>
    <n v="0"/>
    <n v="18"/>
  </r>
  <r>
    <d v="2026-03-23T00:00:00"/>
    <s v="20/03/2026"/>
    <x v="0"/>
    <x v="3"/>
    <x v="37"/>
    <x v="36"/>
    <x v="0"/>
    <x v="0"/>
    <s v="AAD"/>
    <x v="0"/>
    <x v="3"/>
    <n v="27480"/>
    <n v="73"/>
    <n v="10"/>
    <n v="1312.8710000000001"/>
    <n v="179.65"/>
    <n v="30"/>
    <n v="5"/>
    <s v="A|B|C"/>
    <n v="6"/>
    <n v="4"/>
    <n v="3"/>
    <n v="0"/>
    <n v="0"/>
    <n v="13"/>
  </r>
  <r>
    <d v="2026-03-23T00:00:00"/>
    <s v="20/03/2026"/>
    <x v="0"/>
    <x v="3"/>
    <x v="38"/>
    <x v="37"/>
    <x v="0"/>
    <x v="0"/>
    <s v="AAD"/>
    <x v="1"/>
    <x v="3"/>
    <n v="27480"/>
    <n v="74"/>
    <n v="6"/>
    <n v="761.49699999999996"/>
    <n v="97.2"/>
    <n v="30"/>
    <n v="3"/>
    <s v="A|B|C"/>
    <n v="5"/>
    <n v="1"/>
    <n v="2"/>
    <n v="0"/>
    <n v="0"/>
    <n v="8"/>
  </r>
  <r>
    <d v="2026-03-23T00:00:00"/>
    <s v="20/03/2026"/>
    <x v="0"/>
    <x v="3"/>
    <x v="39"/>
    <x v="38"/>
    <x v="0"/>
    <x v="0"/>
    <s v="AAD"/>
    <x v="0"/>
    <x v="3"/>
    <n v="27480"/>
    <n v="30"/>
    <n v="6"/>
    <n v="500.28899999999999"/>
    <n v="66.400000000000006"/>
    <n v="30"/>
    <n v="3"/>
    <s v="A|B|C"/>
    <n v="0"/>
    <n v="1"/>
    <n v="0"/>
    <n v="0"/>
    <n v="0"/>
    <n v="1"/>
  </r>
  <r>
    <d v="2026-03-23T00:00:00"/>
    <s v="20/03/2026"/>
    <x v="0"/>
    <x v="3"/>
    <x v="40"/>
    <x v="39"/>
    <x v="0"/>
    <x v="0"/>
    <s v="AAD"/>
    <x v="0"/>
    <x v="3"/>
    <n v="27480"/>
    <n v="32"/>
    <n v="7"/>
    <n v="826.19100000000003"/>
    <n v="65.8"/>
    <n v="30"/>
    <n v="2"/>
    <s v="A|B|C"/>
    <n v="4"/>
    <n v="3"/>
    <n v="1"/>
    <n v="0"/>
    <n v="0"/>
    <n v="8"/>
  </r>
  <r>
    <d v="2026-03-23T00:00:00"/>
    <s v="20/03/2026"/>
    <x v="0"/>
    <x v="3"/>
    <x v="41"/>
    <x v="40"/>
    <x v="0"/>
    <x v="0"/>
    <s v="AAD"/>
    <x v="0"/>
    <x v="3"/>
    <n v="27480"/>
    <n v="76"/>
    <n v="10"/>
    <n v="1375.4480000000001"/>
    <n v="178"/>
    <n v="30"/>
    <n v="5"/>
    <s v="A|B|C"/>
    <n v="7"/>
    <n v="3"/>
    <n v="2"/>
    <n v="0"/>
    <n v="0"/>
    <n v="12"/>
  </r>
  <r>
    <d v="2026-03-23T00:00:00"/>
    <s v="20/03/2026"/>
    <x v="0"/>
    <x v="3"/>
    <x v="42"/>
    <x v="41"/>
    <x v="0"/>
    <x v="0"/>
    <s v="AAD"/>
    <x v="0"/>
    <x v="3"/>
    <n v="27480"/>
    <n v="13"/>
    <n v="2"/>
    <n v="86.593000000000004"/>
    <n v="50"/>
    <n v="20"/>
    <n v="1"/>
    <s v="A|B|C"/>
    <n v="1"/>
    <n v="0"/>
    <n v="1"/>
    <n v="0"/>
    <n v="0"/>
    <n v="2"/>
  </r>
  <r>
    <d v="2026-03-23T00:00:00"/>
    <s v="20/03/2026"/>
    <x v="0"/>
    <x v="3"/>
    <x v="43"/>
    <x v="42"/>
    <x v="0"/>
    <x v="0"/>
    <s v="AAD"/>
    <x v="1"/>
    <x v="3"/>
    <n v="27480"/>
    <n v="19"/>
    <n v="4"/>
    <n v="259.08199999999999"/>
    <n v="106.8"/>
    <n v="25"/>
    <n v="2"/>
    <s v="A|B|C"/>
    <n v="1"/>
    <n v="2"/>
    <n v="1"/>
    <n v="0"/>
    <n v="0"/>
    <n v="4"/>
  </r>
  <r>
    <d v="2026-03-23T00:00:00"/>
    <s v="20/03/2026"/>
    <x v="0"/>
    <x v="1"/>
    <x v="44"/>
    <x v="43"/>
    <x v="0"/>
    <x v="0"/>
    <s v="AAD"/>
    <x v="3"/>
    <x v="3"/>
    <n v="27480"/>
    <n v="56"/>
    <n v="16"/>
    <n v="1731.191"/>
    <n v="276.10000000000002"/>
    <n v="25"/>
    <n v="7"/>
    <s v="A|B|C"/>
    <n v="7"/>
    <n v="5"/>
    <n v="0"/>
    <n v="0"/>
    <n v="0"/>
    <n v="12"/>
  </r>
  <r>
    <d v="2026-03-23T00:00:00"/>
    <s v="20/03/2026"/>
    <x v="0"/>
    <x v="1"/>
    <x v="45"/>
    <x v="44"/>
    <x v="0"/>
    <x v="0"/>
    <s v="AAD"/>
    <x v="0"/>
    <x v="3"/>
    <n v="27480"/>
    <n v="51"/>
    <n v="34"/>
    <n v="1483.056"/>
    <n v="597.4"/>
    <n v="20"/>
    <n v="9"/>
    <s v="A|B|C"/>
    <n v="9"/>
    <n v="4"/>
    <n v="4"/>
    <n v="0"/>
    <n v="0"/>
    <n v="17"/>
  </r>
  <r>
    <d v="2026-03-24T00:00:00"/>
    <s v="20/03/2026"/>
    <x v="1"/>
    <x v="0"/>
    <x v="12"/>
    <x v="11"/>
    <x v="1"/>
    <x v="1"/>
    <m/>
    <x v="0"/>
    <x v="0"/>
    <n v="27470"/>
    <n v="37"/>
    <n v="20"/>
    <n v="1305.0329999999999"/>
    <n v="155"/>
    <n v="13"/>
    <n v="5"/>
    <s v="A|B|C"/>
    <n v="5"/>
    <n v="4"/>
    <n v="1"/>
    <n v="0"/>
    <n v="0"/>
    <n v="10"/>
  </r>
  <r>
    <d v="2026-03-24T00:00:00"/>
    <s v="20/03/2026"/>
    <x v="1"/>
    <x v="0"/>
    <x v="20"/>
    <x v="19"/>
    <x v="1"/>
    <x v="1"/>
    <m/>
    <x v="3"/>
    <x v="0"/>
    <n v="27470"/>
    <n v="12"/>
    <n v="8"/>
    <n v="396.89400000000001"/>
    <n v="88.561999999999998"/>
    <n v="25"/>
    <n v="2"/>
    <s v="A|B|C"/>
    <n v="2"/>
    <n v="1"/>
    <n v="1"/>
    <n v="0"/>
    <n v="0"/>
    <n v="4"/>
  </r>
  <r>
    <d v="2026-03-24T00:00:00"/>
    <s v="20/03/2026"/>
    <x v="1"/>
    <x v="4"/>
    <x v="48"/>
    <x v="47"/>
    <x v="1"/>
    <x v="1"/>
    <m/>
    <x v="4"/>
    <x v="0"/>
    <n v="27470"/>
    <n v="42"/>
    <n v="12"/>
    <n v="894.07500000000005"/>
    <n v="6"/>
    <n v="60"/>
    <n v="2"/>
    <s v="A|B|C"/>
    <n v="2"/>
    <n v="2"/>
    <n v="2"/>
    <n v="0"/>
    <n v="0"/>
    <n v="6"/>
  </r>
  <r>
    <d v="2026-03-24T00:00:00"/>
    <s v="20/03/2026"/>
    <x v="1"/>
    <x v="3"/>
    <x v="49"/>
    <x v="48"/>
    <x v="1"/>
    <x v="1"/>
    <m/>
    <x v="5"/>
    <x v="0"/>
    <n v="27470"/>
    <n v="107"/>
    <n v="22"/>
    <n v="1584.6369999999999"/>
    <n v="18.25"/>
    <n v="10"/>
    <n v="11"/>
    <s v="A|B|C"/>
    <n v="7"/>
    <n v="7"/>
    <n v="3"/>
    <n v="0"/>
    <n v="0"/>
    <n v="17"/>
  </r>
  <r>
    <d v="2026-03-24T00:00:00"/>
    <s v="20/03/2026"/>
    <x v="1"/>
    <x v="1"/>
    <x v="44"/>
    <x v="43"/>
    <x v="1"/>
    <x v="1"/>
    <m/>
    <x v="3"/>
    <x v="0"/>
    <n v="27470"/>
    <n v="22"/>
    <n v="10"/>
    <n v="681.24099999999999"/>
    <n v="106.5"/>
    <n v="20"/>
    <n v="3"/>
    <s v="A|B|C"/>
    <n v="3"/>
    <n v="1"/>
    <n v="2"/>
    <n v="0"/>
    <n v="0"/>
    <n v="6"/>
  </r>
  <r>
    <d v="2026-03-24T00:00:00"/>
    <s v="20/03/2026"/>
    <x v="1"/>
    <x v="0"/>
    <x v="13"/>
    <x v="12"/>
    <x v="1"/>
    <x v="1"/>
    <m/>
    <x v="0"/>
    <x v="1"/>
    <n v="27469"/>
    <n v="7"/>
    <n v="2"/>
    <n v="357.721"/>
    <n v="1"/>
    <n v="0"/>
    <n v="0"/>
    <s v="A|B|C"/>
    <n v="2"/>
    <n v="2"/>
    <n v="0"/>
    <n v="0"/>
    <n v="0"/>
    <n v="4"/>
  </r>
  <r>
    <d v="2026-03-24T00:00:00"/>
    <s v="20/03/2026"/>
    <x v="1"/>
    <x v="0"/>
    <x v="14"/>
    <x v="13"/>
    <x v="1"/>
    <x v="1"/>
    <m/>
    <x v="4"/>
    <x v="1"/>
    <n v="27469"/>
    <n v="7"/>
    <n v="2"/>
    <n v="330.54"/>
    <n v="1"/>
    <n v="85"/>
    <n v="2"/>
    <s v="A|B|C"/>
    <n v="0"/>
    <n v="0"/>
    <n v="0"/>
    <n v="0"/>
    <n v="0"/>
    <n v="0"/>
  </r>
  <r>
    <d v="2026-03-24T00:00:00"/>
    <s v="20/03/2026"/>
    <x v="1"/>
    <x v="0"/>
    <x v="20"/>
    <x v="19"/>
    <x v="1"/>
    <x v="1"/>
    <m/>
    <x v="3"/>
    <x v="1"/>
    <n v="27469"/>
    <n v="8"/>
    <n v="6"/>
    <n v="264.596"/>
    <n v="87.5"/>
    <n v="130"/>
    <n v="2"/>
    <s v="A|B|C"/>
    <n v="2"/>
    <n v="0"/>
    <n v="1"/>
    <n v="0"/>
    <n v="0"/>
    <n v="3"/>
  </r>
  <r>
    <d v="2026-03-24T00:00:00"/>
    <s v="20/03/2026"/>
    <x v="1"/>
    <x v="4"/>
    <x v="48"/>
    <x v="47"/>
    <x v="1"/>
    <x v="1"/>
    <m/>
    <x v="4"/>
    <x v="1"/>
    <n v="27469"/>
    <n v="42"/>
    <n v="12"/>
    <n v="894.07500000000005"/>
    <n v="6"/>
    <n v="60"/>
    <n v="2"/>
    <s v="A|B|C"/>
    <n v="2"/>
    <n v="2"/>
    <n v="2"/>
    <n v="0"/>
    <n v="0"/>
    <n v="6"/>
  </r>
  <r>
    <d v="2026-03-24T00:00:00"/>
    <s v="20/03/2026"/>
    <x v="1"/>
    <x v="3"/>
    <x v="50"/>
    <x v="49"/>
    <x v="1"/>
    <x v="1"/>
    <m/>
    <x v="0"/>
    <x v="1"/>
    <n v="27469"/>
    <n v="38"/>
    <n v="4"/>
    <n v="593.59799999999996"/>
    <n v="2"/>
    <n v="30"/>
    <n v="2"/>
    <s v="A|B|C"/>
    <n v="3"/>
    <n v="0"/>
    <n v="2"/>
    <n v="0"/>
    <n v="0"/>
    <n v="5"/>
  </r>
  <r>
    <d v="2026-03-24T00:00:00"/>
    <s v="20/03/2026"/>
    <x v="1"/>
    <x v="3"/>
    <x v="49"/>
    <x v="48"/>
    <x v="1"/>
    <x v="1"/>
    <m/>
    <x v="5"/>
    <x v="1"/>
    <n v="27469"/>
    <n v="96"/>
    <n v="18"/>
    <n v="1420.902"/>
    <n v="16.25"/>
    <n v="11"/>
    <n v="9"/>
    <s v="A|B|C"/>
    <n v="6"/>
    <n v="8"/>
    <n v="2"/>
    <n v="0"/>
    <n v="0"/>
    <n v="16"/>
  </r>
  <r>
    <d v="2026-03-24T00:00:00"/>
    <s v="20/03/2026"/>
    <x v="1"/>
    <x v="1"/>
    <x v="44"/>
    <x v="43"/>
    <x v="1"/>
    <x v="1"/>
    <m/>
    <x v="3"/>
    <x v="1"/>
    <n v="27469"/>
    <n v="31"/>
    <n v="12"/>
    <n v="958.49199999999996"/>
    <n v="166.1"/>
    <n v="25"/>
    <n v="3"/>
    <s v="A|B|C"/>
    <n v="3"/>
    <n v="3"/>
    <n v="1"/>
    <n v="0"/>
    <n v="0"/>
    <n v="7"/>
  </r>
  <r>
    <d v="2026-03-24T00:00:00"/>
    <s v="20/03/2026"/>
    <x v="1"/>
    <x v="0"/>
    <x v="13"/>
    <x v="12"/>
    <x v="1"/>
    <x v="1"/>
    <m/>
    <x v="5"/>
    <x v="2"/>
    <n v="27471"/>
    <n v="5"/>
    <n v="2"/>
    <n v="255.51499999999999"/>
    <n v="1"/>
    <n v="0"/>
    <n v="0"/>
    <s v="A|B|C"/>
    <n v="0"/>
    <n v="2"/>
    <n v="1"/>
    <n v="0"/>
    <n v="0"/>
    <n v="3"/>
  </r>
  <r>
    <d v="2026-03-24T00:00:00"/>
    <s v="20/03/2026"/>
    <x v="1"/>
    <x v="0"/>
    <x v="14"/>
    <x v="13"/>
    <x v="1"/>
    <x v="1"/>
    <m/>
    <x v="4"/>
    <x v="2"/>
    <n v="27471"/>
    <n v="5"/>
    <n v="2"/>
    <n v="236.1"/>
    <n v="1"/>
    <n v="30"/>
    <n v="2"/>
    <s v="A|B|C"/>
    <n v="0"/>
    <n v="0"/>
    <n v="0"/>
    <n v="0"/>
    <n v="0"/>
    <n v="0"/>
  </r>
  <r>
    <d v="2026-03-24T00:00:00"/>
    <s v="20/03/2026"/>
    <x v="1"/>
    <x v="4"/>
    <x v="48"/>
    <x v="47"/>
    <x v="1"/>
    <x v="1"/>
    <m/>
    <x v="4"/>
    <x v="2"/>
    <n v="27471"/>
    <n v="42"/>
    <n v="12"/>
    <n v="894.07500000000005"/>
    <n v="6"/>
    <n v="60"/>
    <n v="2"/>
    <s v="A|B|C"/>
    <n v="2"/>
    <n v="2"/>
    <n v="2"/>
    <n v="0"/>
    <n v="0"/>
    <n v="6"/>
  </r>
  <r>
    <d v="2026-03-24T00:00:00"/>
    <s v="20/03/2026"/>
    <x v="1"/>
    <x v="3"/>
    <x v="50"/>
    <x v="49"/>
    <x v="1"/>
    <x v="1"/>
    <m/>
    <x v="0"/>
    <x v="2"/>
    <n v="27471"/>
    <n v="39"/>
    <n v="4"/>
    <n v="609.21900000000005"/>
    <n v="2"/>
    <n v="30"/>
    <n v="2"/>
    <s v="A|B|C"/>
    <n v="3"/>
    <n v="1"/>
    <n v="1"/>
    <n v="0"/>
    <n v="0"/>
    <n v="5"/>
  </r>
  <r>
    <d v="2026-03-24T00:00:00"/>
    <s v="20/03/2026"/>
    <x v="1"/>
    <x v="3"/>
    <x v="49"/>
    <x v="48"/>
    <x v="1"/>
    <x v="1"/>
    <m/>
    <x v="5"/>
    <x v="2"/>
    <n v="27471"/>
    <n v="74"/>
    <n v="16"/>
    <n v="1093.432"/>
    <n v="15.25"/>
    <n v="12"/>
    <n v="8"/>
    <s v="A|B|C"/>
    <n v="5"/>
    <n v="5"/>
    <n v="3"/>
    <n v="0"/>
    <n v="0"/>
    <n v="13"/>
  </r>
  <r>
    <d v="2026-03-24T00:00:00"/>
    <s v="20/03/2026"/>
    <x v="1"/>
    <x v="1"/>
    <x v="44"/>
    <x v="43"/>
    <x v="1"/>
    <x v="1"/>
    <m/>
    <x v="3"/>
    <x v="2"/>
    <n v="27471"/>
    <n v="10"/>
    <n v="2"/>
    <n v="309.65499999999997"/>
    <n v="35.5"/>
    <n v="150"/>
    <n v="1"/>
    <s v="A|B|C"/>
    <n v="1"/>
    <n v="1"/>
    <n v="0"/>
    <n v="0"/>
    <n v="0"/>
    <n v="2"/>
  </r>
  <r>
    <d v="2026-03-24T00:00:00"/>
    <s v="20/03/2026"/>
    <x v="2"/>
    <x v="5"/>
    <x v="51"/>
    <x v="50"/>
    <x v="1"/>
    <x v="1"/>
    <m/>
    <x v="4"/>
    <x v="4"/>
    <n v="27468"/>
    <n v="20"/>
    <n v="4"/>
    <n v="491"/>
    <n v="20.399999999999999"/>
    <n v="60"/>
    <n v="2"/>
    <s v="B|C"/>
    <n v="2"/>
    <n v="0"/>
    <n v="0"/>
    <n v="0"/>
    <n v="0"/>
    <n v="2"/>
  </r>
  <r>
    <d v="2026-03-24T00:00:00"/>
    <s v="20/03/2026"/>
    <x v="2"/>
    <x v="6"/>
    <x v="52"/>
    <x v="51"/>
    <x v="2"/>
    <x v="2"/>
    <s v="AQD"/>
    <x v="4"/>
    <x v="4"/>
    <n v="27468"/>
    <n v="28"/>
    <n v="8"/>
    <n v="840"/>
    <n v="83.2"/>
    <n v="40"/>
    <n v="4"/>
    <s v="B|C"/>
    <n v="4"/>
    <n v="2"/>
    <n v="0"/>
    <n v="0"/>
    <n v="0"/>
    <n v="6"/>
  </r>
  <r>
    <d v="2026-03-24T00:00:00"/>
    <s v="20/03/2026"/>
    <x v="2"/>
    <x v="6"/>
    <x v="53"/>
    <x v="52"/>
    <x v="2"/>
    <x v="2"/>
    <s v="AQD"/>
    <x v="4"/>
    <x v="4"/>
    <n v="27468"/>
    <n v="20"/>
    <n v="6"/>
    <n v="593.55600000000004"/>
    <n v="85.2"/>
    <n v="60"/>
    <n v="3"/>
    <s v="B|C"/>
    <n v="3"/>
    <n v="1"/>
    <n v="0"/>
    <n v="0"/>
    <n v="0"/>
    <n v="4"/>
  </r>
  <r>
    <d v="2026-03-24T00:00:00"/>
    <s v="20/03/2026"/>
    <x v="2"/>
    <x v="5"/>
    <x v="54"/>
    <x v="53"/>
    <x v="3"/>
    <x v="3"/>
    <m/>
    <x v="4"/>
    <x v="4"/>
    <n v="27468"/>
    <n v="20"/>
    <n v="4"/>
    <n v="437.43"/>
    <n v="25.6"/>
    <n v="59"/>
    <n v="2"/>
    <s v="B|C"/>
    <n v="2"/>
    <n v="2"/>
    <n v="0"/>
    <n v="0"/>
    <n v="0"/>
    <n v="4"/>
  </r>
  <r>
    <d v="2026-03-24T00:00:00"/>
    <s v="20/03/2026"/>
    <x v="2"/>
    <x v="4"/>
    <x v="55"/>
    <x v="54"/>
    <x v="2"/>
    <x v="2"/>
    <s v="AQD"/>
    <x v="4"/>
    <x v="4"/>
    <n v="27468"/>
    <n v="20"/>
    <n v="6"/>
    <n v="665"/>
    <n v="22.5"/>
    <n v="60"/>
    <n v="3"/>
    <s v="B|C"/>
    <n v="3"/>
    <n v="1"/>
    <n v="0"/>
    <n v="0"/>
    <n v="0"/>
    <n v="4"/>
  </r>
  <r>
    <d v="2026-03-24T00:00:00"/>
    <s v="20/03/2026"/>
    <x v="2"/>
    <x v="5"/>
    <x v="51"/>
    <x v="50"/>
    <x v="1"/>
    <x v="1"/>
    <m/>
    <x v="4"/>
    <x v="5"/>
    <n v="27466"/>
    <n v="22"/>
    <n v="4"/>
    <n v="540.1"/>
    <n v="20.399999999999999"/>
    <n v="60"/>
    <n v="2"/>
    <s v="B|C"/>
    <n v="2"/>
    <n v="1"/>
    <n v="0"/>
    <n v="0"/>
    <n v="0"/>
    <n v="3"/>
  </r>
  <r>
    <d v="2026-03-24T00:00:00"/>
    <s v="20/03/2026"/>
    <x v="2"/>
    <x v="6"/>
    <x v="52"/>
    <x v="51"/>
    <x v="2"/>
    <x v="2"/>
    <s v="AQD"/>
    <x v="4"/>
    <x v="5"/>
    <n v="27466"/>
    <n v="32"/>
    <n v="8"/>
    <n v="960"/>
    <n v="83.2"/>
    <n v="40"/>
    <n v="4"/>
    <s v="B|C"/>
    <n v="4"/>
    <n v="4"/>
    <n v="0"/>
    <n v="0"/>
    <n v="0"/>
    <n v="8"/>
  </r>
  <r>
    <d v="2026-03-24T00:00:00"/>
    <s v="20/03/2026"/>
    <x v="2"/>
    <x v="6"/>
    <x v="53"/>
    <x v="52"/>
    <x v="2"/>
    <x v="2"/>
    <s v="AQD"/>
    <x v="4"/>
    <x v="5"/>
    <n v="27466"/>
    <n v="22"/>
    <n v="6"/>
    <n v="652.91200000000003"/>
    <n v="85.2"/>
    <n v="60"/>
    <n v="3"/>
    <s v="B|C"/>
    <n v="3"/>
    <n v="2"/>
    <n v="0"/>
    <n v="0"/>
    <n v="0"/>
    <n v="5"/>
  </r>
  <r>
    <d v="2026-03-24T00:00:00"/>
    <s v="20/03/2026"/>
    <x v="2"/>
    <x v="5"/>
    <x v="54"/>
    <x v="53"/>
    <x v="3"/>
    <x v="3"/>
    <m/>
    <x v="4"/>
    <x v="5"/>
    <n v="27466"/>
    <n v="22"/>
    <n v="4"/>
    <n v="481.173"/>
    <n v="25.6"/>
    <n v="59"/>
    <n v="2"/>
    <s v="B|C"/>
    <n v="2"/>
    <n v="2"/>
    <n v="0"/>
    <n v="0"/>
    <n v="0"/>
    <n v="4"/>
  </r>
  <r>
    <d v="2026-03-24T00:00:00"/>
    <s v="20/03/2026"/>
    <x v="2"/>
    <x v="4"/>
    <x v="55"/>
    <x v="54"/>
    <x v="2"/>
    <x v="2"/>
    <s v="AQD"/>
    <x v="4"/>
    <x v="5"/>
    <n v="27466"/>
    <n v="22"/>
    <n v="6"/>
    <n v="731.5"/>
    <n v="22.5"/>
    <n v="60"/>
    <n v="3"/>
    <s v="B|C"/>
    <n v="3"/>
    <n v="2"/>
    <n v="0"/>
    <n v="0"/>
    <n v="0"/>
    <n v="5"/>
  </r>
  <r>
    <d v="2026-03-24T00:00:00"/>
    <s v="20/03/2026"/>
    <x v="2"/>
    <x v="5"/>
    <x v="51"/>
    <x v="50"/>
    <x v="1"/>
    <x v="1"/>
    <m/>
    <x v="4"/>
    <x v="0"/>
    <n v="27465"/>
    <n v="22"/>
    <n v="4"/>
    <n v="540.1"/>
    <n v="20.399999999999999"/>
    <n v="60"/>
    <n v="2"/>
    <s v="B|C"/>
    <n v="2"/>
    <n v="1"/>
    <n v="0"/>
    <n v="0"/>
    <n v="0"/>
    <n v="3"/>
  </r>
  <r>
    <d v="2026-03-24T00:00:00"/>
    <s v="20/03/2026"/>
    <x v="2"/>
    <x v="6"/>
    <x v="52"/>
    <x v="51"/>
    <x v="2"/>
    <x v="2"/>
    <s v="AQD"/>
    <x v="4"/>
    <x v="0"/>
    <n v="27465"/>
    <n v="32"/>
    <n v="8"/>
    <n v="960"/>
    <n v="83.2"/>
    <n v="40"/>
    <n v="4"/>
    <s v="B|C"/>
    <n v="4"/>
    <n v="4"/>
    <n v="0"/>
    <n v="0"/>
    <n v="0"/>
    <n v="8"/>
  </r>
  <r>
    <d v="2026-03-24T00:00:00"/>
    <s v="20/03/2026"/>
    <x v="2"/>
    <x v="6"/>
    <x v="53"/>
    <x v="52"/>
    <x v="2"/>
    <x v="2"/>
    <s v="AQD"/>
    <x v="4"/>
    <x v="0"/>
    <n v="27465"/>
    <n v="22"/>
    <n v="6"/>
    <n v="652.91200000000003"/>
    <n v="85.2"/>
    <n v="60"/>
    <n v="3"/>
    <s v="B|C"/>
    <n v="3"/>
    <n v="2"/>
    <n v="0"/>
    <n v="0"/>
    <n v="0"/>
    <n v="5"/>
  </r>
  <r>
    <d v="2026-03-24T00:00:00"/>
    <s v="20/03/2026"/>
    <x v="2"/>
    <x v="5"/>
    <x v="54"/>
    <x v="53"/>
    <x v="3"/>
    <x v="3"/>
    <m/>
    <x v="4"/>
    <x v="0"/>
    <n v="27465"/>
    <n v="22"/>
    <n v="4"/>
    <n v="481.173"/>
    <n v="25.6"/>
    <n v="59"/>
    <n v="2"/>
    <s v="B|C"/>
    <n v="2"/>
    <n v="2"/>
    <n v="0"/>
    <n v="0"/>
    <n v="0"/>
    <n v="4"/>
  </r>
  <r>
    <d v="2026-03-24T00:00:00"/>
    <s v="20/03/2026"/>
    <x v="2"/>
    <x v="4"/>
    <x v="55"/>
    <x v="54"/>
    <x v="2"/>
    <x v="2"/>
    <s v="AQD"/>
    <x v="4"/>
    <x v="0"/>
    <n v="27465"/>
    <n v="22"/>
    <n v="6"/>
    <n v="731.5"/>
    <n v="22.5"/>
    <n v="60"/>
    <n v="3"/>
    <s v="B|C"/>
    <n v="3"/>
    <n v="2"/>
    <n v="0"/>
    <n v="0"/>
    <n v="0"/>
    <n v="5"/>
  </r>
  <r>
    <d v="2026-03-24T00:00:00"/>
    <s v="20/03/2026"/>
    <x v="2"/>
    <x v="4"/>
    <x v="56"/>
    <x v="55"/>
    <x v="2"/>
    <x v="2"/>
    <s v="AQD"/>
    <x v="4"/>
    <x v="0"/>
    <n v="27465"/>
    <n v="22"/>
    <n v="4"/>
    <n v="587.4"/>
    <n v="68.599999999999994"/>
    <n v="60"/>
    <n v="2"/>
    <s v="B|C"/>
    <n v="2"/>
    <n v="2"/>
    <n v="0"/>
    <n v="0"/>
    <n v="0"/>
    <n v="4"/>
  </r>
  <r>
    <d v="2026-03-24T00:00:00"/>
    <s v="20/03/2026"/>
    <x v="2"/>
    <x v="5"/>
    <x v="51"/>
    <x v="50"/>
    <x v="1"/>
    <x v="1"/>
    <m/>
    <x v="4"/>
    <x v="1"/>
    <n v="27464"/>
    <n v="22"/>
    <n v="4"/>
    <n v="540.1"/>
    <n v="20.399999999999999"/>
    <n v="60"/>
    <n v="2"/>
    <s v="B|C"/>
    <n v="2"/>
    <n v="1"/>
    <n v="0"/>
    <n v="0"/>
    <n v="0"/>
    <n v="3"/>
  </r>
  <r>
    <d v="2026-03-24T00:00:00"/>
    <s v="20/03/2026"/>
    <x v="2"/>
    <x v="6"/>
    <x v="52"/>
    <x v="51"/>
    <x v="2"/>
    <x v="2"/>
    <s v="AQD"/>
    <x v="4"/>
    <x v="1"/>
    <n v="27464"/>
    <n v="32"/>
    <n v="8"/>
    <n v="960"/>
    <n v="83.2"/>
    <n v="40"/>
    <n v="4"/>
    <s v="B|C"/>
    <n v="4"/>
    <n v="4"/>
    <n v="0"/>
    <n v="0"/>
    <n v="0"/>
    <n v="8"/>
  </r>
  <r>
    <d v="2026-03-24T00:00:00"/>
    <s v="20/03/2026"/>
    <x v="2"/>
    <x v="6"/>
    <x v="53"/>
    <x v="52"/>
    <x v="2"/>
    <x v="2"/>
    <s v="AQD"/>
    <x v="4"/>
    <x v="1"/>
    <n v="27464"/>
    <n v="22"/>
    <n v="6"/>
    <n v="652.91200000000003"/>
    <n v="85.2"/>
    <n v="60"/>
    <n v="3"/>
    <s v="B|C"/>
    <n v="3"/>
    <n v="2"/>
    <n v="0"/>
    <n v="0"/>
    <n v="0"/>
    <n v="5"/>
  </r>
  <r>
    <d v="2026-03-24T00:00:00"/>
    <s v="20/03/2026"/>
    <x v="2"/>
    <x v="5"/>
    <x v="54"/>
    <x v="53"/>
    <x v="3"/>
    <x v="3"/>
    <m/>
    <x v="4"/>
    <x v="1"/>
    <n v="27464"/>
    <n v="22"/>
    <n v="4"/>
    <n v="481.173"/>
    <n v="25.6"/>
    <n v="59"/>
    <n v="2"/>
    <s v="B|C"/>
    <n v="2"/>
    <n v="2"/>
    <n v="0"/>
    <n v="0"/>
    <n v="0"/>
    <n v="4"/>
  </r>
  <r>
    <d v="2026-03-24T00:00:00"/>
    <s v="20/03/2026"/>
    <x v="2"/>
    <x v="4"/>
    <x v="55"/>
    <x v="54"/>
    <x v="2"/>
    <x v="2"/>
    <s v="AQD"/>
    <x v="4"/>
    <x v="1"/>
    <n v="27464"/>
    <n v="22"/>
    <n v="6"/>
    <n v="731.5"/>
    <n v="22.5"/>
    <n v="60"/>
    <n v="3"/>
    <s v="B|C"/>
    <n v="3"/>
    <n v="2"/>
    <n v="0"/>
    <n v="0"/>
    <n v="0"/>
    <n v="5"/>
  </r>
  <r>
    <d v="2026-03-24T00:00:00"/>
    <s v="20/03/2026"/>
    <x v="2"/>
    <x v="4"/>
    <x v="56"/>
    <x v="55"/>
    <x v="2"/>
    <x v="2"/>
    <s v="AQD"/>
    <x v="4"/>
    <x v="1"/>
    <n v="27464"/>
    <n v="22"/>
    <n v="4"/>
    <n v="587.4"/>
    <n v="68.599999999999994"/>
    <n v="60"/>
    <n v="2"/>
    <s v="B|C"/>
    <n v="2"/>
    <n v="2"/>
    <n v="0"/>
    <n v="0"/>
    <n v="0"/>
    <n v="4"/>
  </r>
  <r>
    <d v="2026-03-24T00:00:00"/>
    <s v="20/03/2026"/>
    <x v="2"/>
    <x v="5"/>
    <x v="51"/>
    <x v="50"/>
    <x v="1"/>
    <x v="1"/>
    <m/>
    <x v="4"/>
    <x v="2"/>
    <n v="27467"/>
    <n v="20"/>
    <n v="4"/>
    <n v="491"/>
    <n v="20.399999999999999"/>
    <n v="60"/>
    <n v="2"/>
    <s v="B|C"/>
    <n v="2"/>
    <n v="1"/>
    <n v="0"/>
    <n v="0"/>
    <n v="0"/>
    <n v="3"/>
  </r>
  <r>
    <d v="2026-03-24T00:00:00"/>
    <s v="20/03/2026"/>
    <x v="2"/>
    <x v="6"/>
    <x v="52"/>
    <x v="51"/>
    <x v="2"/>
    <x v="2"/>
    <s v="AQD"/>
    <x v="4"/>
    <x v="2"/>
    <n v="27467"/>
    <n v="28"/>
    <n v="8"/>
    <n v="840"/>
    <n v="83.2"/>
    <n v="40"/>
    <n v="4"/>
    <s v="B|C"/>
    <n v="4"/>
    <n v="2"/>
    <n v="0"/>
    <n v="0"/>
    <n v="0"/>
    <n v="6"/>
  </r>
  <r>
    <d v="2026-03-25T00:00:00"/>
    <s v="20/03/2026"/>
    <x v="2"/>
    <x v="6"/>
    <x v="53"/>
    <x v="52"/>
    <x v="2"/>
    <x v="2"/>
    <s v="AQD"/>
    <x v="4"/>
    <x v="2"/>
    <n v="27467"/>
    <n v="20"/>
    <n v="6"/>
    <n v="593.55600000000004"/>
    <n v="85.2"/>
    <n v="60"/>
    <n v="3"/>
    <s v="B|C"/>
    <n v="3"/>
    <n v="2"/>
    <n v="0"/>
    <n v="0"/>
    <n v="0"/>
    <n v="5"/>
  </r>
  <r>
    <d v="2026-03-25T00:00:00"/>
    <s v="20/03/2026"/>
    <x v="2"/>
    <x v="5"/>
    <x v="54"/>
    <x v="53"/>
    <x v="3"/>
    <x v="3"/>
    <m/>
    <x v="4"/>
    <x v="2"/>
    <n v="27467"/>
    <n v="20"/>
    <n v="4"/>
    <n v="437.43"/>
    <n v="25.6"/>
    <n v="59"/>
    <n v="2"/>
    <s v="B|C"/>
    <n v="2"/>
    <n v="2"/>
    <n v="0"/>
    <n v="0"/>
    <n v="0"/>
    <n v="4"/>
  </r>
  <r>
    <d v="2026-03-25T00:00:00"/>
    <s v="20/03/2026"/>
    <x v="2"/>
    <x v="4"/>
    <x v="55"/>
    <x v="54"/>
    <x v="2"/>
    <x v="2"/>
    <s v="AQD"/>
    <x v="4"/>
    <x v="2"/>
    <n v="27467"/>
    <n v="20"/>
    <n v="6"/>
    <n v="665"/>
    <n v="22.5"/>
    <n v="60"/>
    <n v="3"/>
    <s v="B|C"/>
    <n v="3"/>
    <n v="2"/>
    <n v="0"/>
    <n v="0"/>
    <n v="0"/>
    <n v="5"/>
  </r>
  <r>
    <d v="2026-03-25T00:00:00"/>
    <s v="20/03/2026"/>
    <x v="2"/>
    <x v="4"/>
    <x v="56"/>
    <x v="55"/>
    <x v="2"/>
    <x v="2"/>
    <s v="AQD"/>
    <x v="4"/>
    <x v="2"/>
    <n v="27467"/>
    <n v="22"/>
    <n v="4"/>
    <n v="587.4"/>
    <n v="68.599999999999994"/>
    <n v="60"/>
    <n v="2"/>
    <s v="B|C"/>
    <n v="2"/>
    <n v="2"/>
    <n v="0"/>
    <n v="0"/>
    <n v="0"/>
    <n v="4"/>
  </r>
  <r>
    <d v="2026-03-25T00:00:00"/>
    <s v="20/03/2026"/>
    <x v="3"/>
    <x v="0"/>
    <x v="0"/>
    <x v="0"/>
    <x v="4"/>
    <x v="4"/>
    <s v="JAD"/>
    <x v="0"/>
    <x v="0"/>
    <n v="27461"/>
    <n v="55"/>
    <n v="16"/>
    <n v="2061.6689999999999"/>
    <n v="270"/>
    <n v="20"/>
    <n v="8"/>
    <s v="A|B|C"/>
    <n v="7"/>
    <n v="8"/>
    <n v="0"/>
    <n v="0"/>
    <n v="0"/>
    <n v="15"/>
  </r>
  <r>
    <d v="2026-03-25T00:00:00"/>
    <s v="20/03/2026"/>
    <x v="3"/>
    <x v="0"/>
    <x v="57"/>
    <x v="56"/>
    <x v="4"/>
    <x v="4"/>
    <s v="JAD"/>
    <x v="5"/>
    <x v="0"/>
    <n v="27461"/>
    <n v="14"/>
    <n v="2"/>
    <n v="420.483"/>
    <n v="49.1"/>
    <n v="117"/>
    <n v="1"/>
    <s v="A|B|C"/>
    <n v="1"/>
    <n v="1"/>
    <n v="0"/>
    <n v="0"/>
    <n v="0"/>
    <n v="2"/>
  </r>
  <r>
    <d v="2026-03-25T00:00:00"/>
    <s v="20/03/2026"/>
    <x v="3"/>
    <x v="0"/>
    <x v="58"/>
    <x v="57"/>
    <x v="4"/>
    <x v="4"/>
    <s v="JAD"/>
    <x v="0"/>
    <x v="0"/>
    <n v="27461"/>
    <n v="6"/>
    <n v="4"/>
    <n v="212.41"/>
    <n v="37.5"/>
    <n v="45"/>
    <n v="1"/>
    <s v="A|B|C"/>
    <n v="1"/>
    <n v="1"/>
    <n v="0"/>
    <n v="0"/>
    <n v="0"/>
    <n v="2"/>
  </r>
  <r>
    <d v="2026-03-25T00:00:00"/>
    <s v="20/03/2026"/>
    <x v="3"/>
    <x v="0"/>
    <x v="59"/>
    <x v="58"/>
    <x v="4"/>
    <x v="4"/>
    <s v="JAD"/>
    <x v="5"/>
    <x v="0"/>
    <n v="27461"/>
    <n v="32"/>
    <n v="8"/>
    <n v="713.78899999999999"/>
    <n v="106.9"/>
    <n v="20"/>
    <n v="4"/>
    <s v="A|B|C"/>
    <n v="4"/>
    <n v="4"/>
    <n v="0"/>
    <n v="0"/>
    <n v="0"/>
    <n v="8"/>
  </r>
  <r>
    <d v="2026-03-25T00:00:00"/>
    <s v="20/03/2026"/>
    <x v="3"/>
    <x v="0"/>
    <x v="22"/>
    <x v="21"/>
    <x v="4"/>
    <x v="4"/>
    <s v="JAD"/>
    <x v="0"/>
    <x v="0"/>
    <n v="27461"/>
    <n v="31"/>
    <n v="8"/>
    <n v="957.33199999999999"/>
    <n v="172.9"/>
    <n v="30"/>
    <n v="4"/>
    <s v="A|B|C"/>
    <n v="4"/>
    <n v="4"/>
    <n v="0"/>
    <n v="0"/>
    <n v="0"/>
    <n v="8"/>
  </r>
  <r>
    <d v="2026-03-25T00:00:00"/>
    <s v="20/03/2026"/>
    <x v="3"/>
    <x v="0"/>
    <x v="60"/>
    <x v="59"/>
    <x v="4"/>
    <x v="4"/>
    <s v="JAD"/>
    <x v="1"/>
    <x v="0"/>
    <n v="27461"/>
    <n v="36"/>
    <n v="12"/>
    <n v="1092.1289999999999"/>
    <n v="191.6"/>
    <n v="40"/>
    <n v="4"/>
    <s v="A|B|C"/>
    <n v="4"/>
    <n v="2"/>
    <n v="1"/>
    <n v="0"/>
    <n v="0"/>
    <n v="7"/>
  </r>
  <r>
    <d v="2026-03-25T00:00:00"/>
    <s v="20/03/2026"/>
    <x v="3"/>
    <x v="0"/>
    <x v="61"/>
    <x v="60"/>
    <x v="4"/>
    <x v="4"/>
    <s v="JAD"/>
    <x v="5"/>
    <x v="0"/>
    <n v="27461"/>
    <n v="30"/>
    <n v="8"/>
    <n v="1504.992"/>
    <n v="68.8"/>
    <n v="25"/>
    <n v="4"/>
    <s v="A|B|C"/>
    <n v="4"/>
    <n v="3"/>
    <n v="1"/>
    <n v="0"/>
    <n v="0"/>
    <n v="8"/>
  </r>
  <r>
    <d v="2026-03-25T00:00:00"/>
    <s v="20/03/2026"/>
    <x v="3"/>
    <x v="0"/>
    <x v="62"/>
    <x v="61"/>
    <x v="4"/>
    <x v="4"/>
    <s v="JAD"/>
    <x v="1"/>
    <x v="0"/>
    <n v="27461"/>
    <n v="44"/>
    <n v="4"/>
    <n v="382.44799999999998"/>
    <n v="69.349999999999994"/>
    <n v="60"/>
    <n v="2"/>
    <s v="A|B|C"/>
    <n v="2"/>
    <n v="1"/>
    <n v="0"/>
    <n v="0"/>
    <n v="0"/>
    <n v="3"/>
  </r>
  <r>
    <d v="2026-03-25T00:00:00"/>
    <s v="20/03/2026"/>
    <x v="3"/>
    <x v="7"/>
    <x v="63"/>
    <x v="62"/>
    <x v="4"/>
    <x v="4"/>
    <s v="JAD"/>
    <x v="4"/>
    <x v="0"/>
    <n v="27461"/>
    <n v="9"/>
    <n v="10"/>
    <n v="386.43900000000002"/>
    <n v="58.48"/>
    <n v="120"/>
    <n v="1"/>
    <s v="A|B|C"/>
    <n v="1"/>
    <n v="1"/>
    <n v="0"/>
    <n v="0"/>
    <n v="0"/>
    <n v="2"/>
  </r>
  <r>
    <d v="2026-03-25T00:00:00"/>
    <s v="20/03/2026"/>
    <x v="3"/>
    <x v="7"/>
    <x v="64"/>
    <x v="63"/>
    <x v="4"/>
    <x v="4"/>
    <s v="JAD"/>
    <x v="0"/>
    <x v="0"/>
    <n v="27461"/>
    <n v="26"/>
    <n v="2"/>
    <n v="657.56899999999996"/>
    <n v="0.2"/>
    <n v="75"/>
    <n v="1"/>
    <s v="A|B|C"/>
    <n v="1"/>
    <n v="1"/>
    <n v="0"/>
    <n v="0"/>
    <n v="0"/>
    <n v="2"/>
  </r>
  <r>
    <d v="2026-03-25T00:00:00"/>
    <s v="20/03/2026"/>
    <x v="3"/>
    <x v="7"/>
    <x v="65"/>
    <x v="64"/>
    <x v="4"/>
    <x v="4"/>
    <s v="JAD"/>
    <x v="5"/>
    <x v="0"/>
    <n v="27461"/>
    <n v="13"/>
    <n v="2"/>
    <n v="526.90300000000002"/>
    <n v="21.7"/>
    <n v="90"/>
    <n v="1"/>
    <s v="A|B|C"/>
    <n v="2"/>
    <n v="0"/>
    <n v="1"/>
    <n v="0"/>
    <n v="0"/>
    <n v="3"/>
  </r>
  <r>
    <d v="2026-03-25T00:00:00"/>
    <s v="20/03/2026"/>
    <x v="3"/>
    <x v="8"/>
    <x v="66"/>
    <x v="65"/>
    <x v="4"/>
    <x v="4"/>
    <s v="JAD"/>
    <x v="4"/>
    <x v="0"/>
    <n v="27461"/>
    <n v="109"/>
    <n v="26"/>
    <n v="12749.794"/>
    <n v="772.6"/>
    <n v="20"/>
    <n v="13"/>
    <s v="A|B|C"/>
    <n v="16"/>
    <n v="10"/>
    <n v="5"/>
    <n v="0"/>
    <n v="0"/>
    <n v="31"/>
  </r>
  <r>
    <d v="2026-03-25T00:00:00"/>
    <s v="20/03/2026"/>
    <x v="3"/>
    <x v="3"/>
    <x v="67"/>
    <x v="66"/>
    <x v="4"/>
    <x v="4"/>
    <s v="JAD"/>
    <x v="5"/>
    <x v="0"/>
    <n v="27461"/>
    <n v="34"/>
    <n v="6"/>
    <n v="766.95299999999997"/>
    <n v="106.2"/>
    <n v="30"/>
    <n v="3"/>
    <s v="A|B|C"/>
    <n v="4"/>
    <n v="1"/>
    <n v="2"/>
    <n v="0"/>
    <n v="0"/>
    <n v="7"/>
  </r>
  <r>
    <d v="2026-03-25T00:00:00"/>
    <s v="20/03/2026"/>
    <x v="3"/>
    <x v="3"/>
    <x v="68"/>
    <x v="67"/>
    <x v="4"/>
    <x v="4"/>
    <s v="JAD"/>
    <x v="5"/>
    <x v="0"/>
    <n v="27461"/>
    <n v="58"/>
    <n v="10"/>
    <n v="1269.45"/>
    <n v="113.2"/>
    <n v="20"/>
    <n v="4"/>
    <s v="A|B|C"/>
    <n v="4"/>
    <n v="4"/>
    <n v="0"/>
    <n v="0"/>
    <n v="0"/>
    <n v="8"/>
  </r>
  <r>
    <d v="2026-03-25T00:00:00"/>
    <s v="20/03/2026"/>
    <x v="3"/>
    <x v="3"/>
    <x v="69"/>
    <x v="68"/>
    <x v="4"/>
    <x v="4"/>
    <s v="JAD"/>
    <x v="5"/>
    <x v="0"/>
    <n v="27461"/>
    <n v="48"/>
    <n v="8"/>
    <n v="1429.3440000000001"/>
    <n v="42"/>
    <n v="20"/>
    <n v="4"/>
    <s v="A|B|C"/>
    <n v="4"/>
    <n v="2"/>
    <n v="2"/>
    <n v="0"/>
    <n v="0"/>
    <n v="8"/>
  </r>
  <r>
    <d v="2026-03-25T00:00:00"/>
    <s v="20/03/2026"/>
    <x v="3"/>
    <x v="3"/>
    <x v="70"/>
    <x v="69"/>
    <x v="4"/>
    <x v="4"/>
    <s v="JAD"/>
    <x v="0"/>
    <x v="0"/>
    <n v="27461"/>
    <n v="60"/>
    <n v="9"/>
    <n v="775.20500000000004"/>
    <n v="31.6"/>
    <n v="20"/>
    <n v="3"/>
    <s v="A|B|C"/>
    <n v="3"/>
    <n v="3"/>
    <n v="0"/>
    <n v="0"/>
    <n v="0"/>
    <n v="6"/>
  </r>
  <r>
    <d v="2026-03-25T00:00:00"/>
    <s v="20/03/2026"/>
    <x v="3"/>
    <x v="3"/>
    <x v="71"/>
    <x v="70"/>
    <x v="4"/>
    <x v="4"/>
    <s v="JAD"/>
    <x v="0"/>
    <x v="0"/>
    <n v="27461"/>
    <n v="51"/>
    <n v="6"/>
    <n v="1090.501"/>
    <n v="23.6"/>
    <n v="20"/>
    <n v="3"/>
    <s v="A|B|C"/>
    <n v="4"/>
    <n v="2"/>
    <n v="2"/>
    <n v="0"/>
    <n v="0"/>
    <n v="8"/>
  </r>
  <r>
    <d v="2026-03-25T00:00:00"/>
    <s v="20/03/2026"/>
    <x v="3"/>
    <x v="3"/>
    <x v="72"/>
    <x v="71"/>
    <x v="4"/>
    <x v="4"/>
    <s v="JAD"/>
    <x v="1"/>
    <x v="0"/>
    <n v="27461"/>
    <n v="34"/>
    <n v="6"/>
    <n v="327.20499999999998"/>
    <n v="35.200000000000003"/>
    <n v="25"/>
    <n v="2"/>
    <s v="A|B|C"/>
    <n v="2"/>
    <n v="1"/>
    <n v="1"/>
    <n v="0"/>
    <n v="0"/>
    <n v="4"/>
  </r>
  <r>
    <d v="2026-03-25T00:00:00"/>
    <s v="20/03/2026"/>
    <x v="3"/>
    <x v="3"/>
    <x v="73"/>
    <x v="72"/>
    <x v="4"/>
    <x v="4"/>
    <s v="JAD"/>
    <x v="0"/>
    <x v="0"/>
    <n v="27461"/>
    <n v="108"/>
    <n v="26"/>
    <n v="2402.46"/>
    <n v="310.3"/>
    <n v="20"/>
    <n v="9"/>
    <s v="A|B|C"/>
    <n v="9"/>
    <n v="6"/>
    <n v="4"/>
    <n v="0"/>
    <n v="0"/>
    <n v="19"/>
  </r>
  <r>
    <d v="2026-03-25T00:00:00"/>
    <s v="20/03/2026"/>
    <x v="3"/>
    <x v="3"/>
    <x v="74"/>
    <x v="73"/>
    <x v="4"/>
    <x v="4"/>
    <s v="JAD"/>
    <x v="5"/>
    <x v="0"/>
    <n v="27461"/>
    <n v="90"/>
    <n v="18"/>
    <n v="2068.2289999999998"/>
    <n v="145.1"/>
    <n v="25"/>
    <n v="7"/>
    <s v="A|B|C"/>
    <n v="8"/>
    <n v="6"/>
    <n v="2"/>
    <n v="0"/>
    <n v="0"/>
    <n v="16"/>
  </r>
  <r>
    <d v="2026-03-25T00:00:00"/>
    <s v="20/03/2026"/>
    <x v="3"/>
    <x v="3"/>
    <x v="75"/>
    <x v="74"/>
    <x v="4"/>
    <x v="4"/>
    <s v="JAD"/>
    <x v="5"/>
    <x v="0"/>
    <n v="27461"/>
    <n v="98"/>
    <n v="16"/>
    <n v="2586.1759999999999"/>
    <n v="185.4"/>
    <n v="20"/>
    <n v="7"/>
    <s v="A|B|C"/>
    <n v="9"/>
    <n v="6"/>
    <n v="4"/>
    <n v="0"/>
    <n v="0"/>
    <n v="19"/>
  </r>
  <r>
    <d v="2026-03-25T00:00:00"/>
    <s v="20/03/2026"/>
    <x v="3"/>
    <x v="3"/>
    <x v="76"/>
    <x v="75"/>
    <x v="4"/>
    <x v="4"/>
    <s v="JAD"/>
    <x v="5"/>
    <x v="0"/>
    <n v="27461"/>
    <n v="58"/>
    <n v="12"/>
    <n v="2038.9469999999999"/>
    <n v="108.78"/>
    <n v="20"/>
    <n v="6"/>
    <s v="A|B|C"/>
    <n v="6"/>
    <n v="5"/>
    <n v="2"/>
    <n v="0"/>
    <n v="0"/>
    <n v="13"/>
  </r>
  <r>
    <d v="2026-03-25T00:00:00"/>
    <s v="20/03/2026"/>
    <x v="3"/>
    <x v="3"/>
    <x v="77"/>
    <x v="76"/>
    <x v="4"/>
    <x v="4"/>
    <s v="JAD"/>
    <x v="5"/>
    <x v="0"/>
    <n v="27461"/>
    <n v="43"/>
    <n v="10"/>
    <n v="1218.9670000000001"/>
    <n v="76.900000000000006"/>
    <n v="25"/>
    <n v="4"/>
    <s v="A|B|C"/>
    <n v="5"/>
    <n v="3"/>
    <n v="2"/>
    <n v="0"/>
    <n v="0"/>
    <n v="10"/>
  </r>
  <r>
    <d v="2026-03-25T00:00:00"/>
    <s v="20/03/2026"/>
    <x v="3"/>
    <x v="3"/>
    <x v="78"/>
    <x v="77"/>
    <x v="4"/>
    <x v="4"/>
    <s v="JAD"/>
    <x v="5"/>
    <x v="0"/>
    <n v="27461"/>
    <n v="39"/>
    <n v="4"/>
    <n v="530.91600000000005"/>
    <n v="26.3"/>
    <n v="25"/>
    <n v="2"/>
    <s v="A|B|C"/>
    <n v="2"/>
    <n v="1"/>
    <n v="1"/>
    <n v="0"/>
    <n v="0"/>
    <n v="4"/>
  </r>
  <r>
    <d v="2026-03-25T00:00:00"/>
    <s v="20/03/2026"/>
    <x v="3"/>
    <x v="3"/>
    <x v="79"/>
    <x v="78"/>
    <x v="4"/>
    <x v="4"/>
    <s v="JAD"/>
    <x v="5"/>
    <x v="0"/>
    <n v="27461"/>
    <n v="51"/>
    <n v="14"/>
    <n v="2491.6729999999998"/>
    <n v="276.60000000000002"/>
    <n v="30"/>
    <n v="5"/>
    <s v="A|B|C"/>
    <n v="6"/>
    <n v="1"/>
    <n v="2"/>
    <n v="0"/>
    <n v="0"/>
    <n v="9"/>
  </r>
  <r>
    <d v="2026-03-25T00:00:00"/>
    <s v="20/03/2026"/>
    <x v="3"/>
    <x v="3"/>
    <x v="80"/>
    <x v="79"/>
    <x v="4"/>
    <x v="4"/>
    <s v="JAD"/>
    <x v="5"/>
    <x v="0"/>
    <n v="27461"/>
    <n v="38"/>
    <n v="10"/>
    <n v="2146.8679999999999"/>
    <n v="126.57"/>
    <n v="30"/>
    <n v="4"/>
    <s v="A|B|C"/>
    <n v="7"/>
    <n v="2"/>
    <n v="3"/>
    <n v="0"/>
    <n v="0"/>
    <n v="12"/>
  </r>
  <r>
    <d v="2026-03-25T00:00:00"/>
    <s v="20/03/2026"/>
    <x v="3"/>
    <x v="3"/>
    <x v="81"/>
    <x v="80"/>
    <x v="4"/>
    <x v="4"/>
    <s v="JAD"/>
    <x v="5"/>
    <x v="0"/>
    <n v="27461"/>
    <n v="76"/>
    <n v="8"/>
    <n v="2057.4340000000002"/>
    <n v="185.8"/>
    <n v="30"/>
    <n v="4"/>
    <s v="A|B|C"/>
    <n v="6"/>
    <n v="2"/>
    <n v="2"/>
    <n v="0"/>
    <n v="0"/>
    <n v="10"/>
  </r>
  <r>
    <d v="2026-03-25T00:00:00"/>
    <s v="20/03/2026"/>
    <x v="3"/>
    <x v="3"/>
    <x v="82"/>
    <x v="81"/>
    <x v="4"/>
    <x v="4"/>
    <s v="JAD"/>
    <x v="5"/>
    <x v="0"/>
    <n v="27461"/>
    <n v="27"/>
    <n v="2"/>
    <n v="296.81400000000002"/>
    <n v="15.2"/>
    <n v="35"/>
    <n v="1"/>
    <s v="A|B|C"/>
    <n v="1"/>
    <n v="1"/>
    <n v="0"/>
    <n v="0"/>
    <n v="0"/>
    <n v="2"/>
  </r>
  <r>
    <d v="2026-03-25T00:00:00"/>
    <s v="20/03/2026"/>
    <x v="3"/>
    <x v="3"/>
    <x v="83"/>
    <x v="82"/>
    <x v="4"/>
    <x v="4"/>
    <s v="JAD"/>
    <x v="1"/>
    <x v="0"/>
    <n v="27461"/>
    <n v="39"/>
    <n v="2"/>
    <n v="159.78299999999999"/>
    <n v="19.3"/>
    <n v="30"/>
    <n v="1"/>
    <s v="A|B|C"/>
    <n v="2"/>
    <n v="0"/>
    <n v="1"/>
    <n v="0"/>
    <n v="0"/>
    <n v="3"/>
  </r>
  <r>
    <d v="2026-03-25T00:00:00"/>
    <s v="20/03/2026"/>
    <x v="3"/>
    <x v="3"/>
    <x v="84"/>
    <x v="83"/>
    <x v="4"/>
    <x v="4"/>
    <s v="JAD"/>
    <x v="1"/>
    <x v="0"/>
    <n v="27461"/>
    <n v="39"/>
    <n v="2"/>
    <n v="119.80800000000001"/>
    <n v="37.9"/>
    <n v="30"/>
    <n v="1"/>
    <s v="A|B|C"/>
    <n v="2"/>
    <n v="0"/>
    <n v="1"/>
    <n v="0"/>
    <n v="0"/>
    <n v="3"/>
  </r>
  <r>
    <d v="2026-03-25T00:00:00"/>
    <s v="20/03/2026"/>
    <x v="3"/>
    <x v="0"/>
    <x v="85"/>
    <x v="84"/>
    <x v="4"/>
    <x v="4"/>
    <s v="JAD"/>
    <x v="0"/>
    <x v="0"/>
    <n v="27461"/>
    <n v="37"/>
    <n v="8"/>
    <n v="1125.096"/>
    <n v="76.09"/>
    <n v="30"/>
    <n v="4"/>
    <s v="A|B|C"/>
    <n v="5"/>
    <n v="3"/>
    <n v="1"/>
    <n v="0"/>
    <n v="0"/>
    <n v="9"/>
  </r>
  <r>
    <d v="2026-03-25T00:00:00"/>
    <s v="20/03/2026"/>
    <x v="3"/>
    <x v="0"/>
    <x v="86"/>
    <x v="85"/>
    <x v="4"/>
    <x v="4"/>
    <s v="JAD"/>
    <x v="0"/>
    <x v="0"/>
    <n v="27461"/>
    <n v="18"/>
    <n v="2"/>
    <n v="247.33799999999999"/>
    <n v="40.299999999999997"/>
    <n v="60"/>
    <n v="1"/>
    <s v="A|B|C"/>
    <n v="1"/>
    <n v="1"/>
    <n v="0"/>
    <n v="0"/>
    <n v="0"/>
    <n v="2"/>
  </r>
  <r>
    <d v="2026-03-25T00:00:00"/>
    <s v="20/03/2026"/>
    <x v="3"/>
    <x v="0"/>
    <x v="87"/>
    <x v="86"/>
    <x v="4"/>
    <x v="4"/>
    <s v="JAD"/>
    <x v="0"/>
    <x v="0"/>
    <n v="27461"/>
    <n v="24"/>
    <n v="6"/>
    <n v="422.47199999999998"/>
    <n v="84.9"/>
    <n v="35"/>
    <n v="2"/>
    <s v="A|B|C"/>
    <n v="2"/>
    <n v="2"/>
    <n v="0"/>
    <n v="0"/>
    <n v="0"/>
    <n v="4"/>
  </r>
  <r>
    <d v="2026-03-25T00:00:00"/>
    <s v="20/03/2026"/>
    <x v="3"/>
    <x v="0"/>
    <x v="88"/>
    <x v="87"/>
    <x v="4"/>
    <x v="4"/>
    <s v="JAD"/>
    <x v="0"/>
    <x v="0"/>
    <n v="27461"/>
    <n v="33"/>
    <n v="8"/>
    <n v="672.93600000000004"/>
    <n v="145.19999999999999"/>
    <n v="30"/>
    <n v="3"/>
    <s v="A|B|C"/>
    <n v="3"/>
    <n v="2"/>
    <n v="1"/>
    <n v="0"/>
    <n v="0"/>
    <n v="6"/>
  </r>
  <r>
    <d v="2026-03-25T00:00:00"/>
    <s v="20/03/2026"/>
    <x v="3"/>
    <x v="7"/>
    <x v="89"/>
    <x v="88"/>
    <x v="4"/>
    <x v="4"/>
    <s v="JAD"/>
    <x v="0"/>
    <x v="0"/>
    <n v="27461"/>
    <n v="39"/>
    <n v="2"/>
    <n v="134.35499999999999"/>
    <n v="38.200000000000003"/>
    <n v="20"/>
    <n v="1"/>
    <s v="A|B|C"/>
    <n v="1"/>
    <n v="1"/>
    <n v="0"/>
    <n v="0"/>
    <n v="0"/>
    <n v="2"/>
  </r>
  <r>
    <d v="2026-03-25T00:00:00"/>
    <s v="20/03/2026"/>
    <x v="3"/>
    <x v="7"/>
    <x v="90"/>
    <x v="89"/>
    <x v="4"/>
    <x v="4"/>
    <s v="JAD"/>
    <x v="0"/>
    <x v="0"/>
    <n v="27461"/>
    <n v="39"/>
    <n v="2"/>
    <n v="129.714"/>
    <n v="29.4"/>
    <n v="20"/>
    <n v="1"/>
    <s v="A|B|C"/>
    <n v="1"/>
    <n v="1"/>
    <n v="0"/>
    <n v="0"/>
    <n v="0"/>
    <n v="2"/>
  </r>
  <r>
    <d v="2026-03-25T00:00:00"/>
    <s v="20/03/2026"/>
    <x v="3"/>
    <x v="9"/>
    <x v="91"/>
    <x v="90"/>
    <x v="4"/>
    <x v="4"/>
    <s v="JAD"/>
    <x v="5"/>
    <x v="0"/>
    <n v="27461"/>
    <n v="38"/>
    <n v="32"/>
    <n v="2520.989"/>
    <n v="1129.4000000000001"/>
    <n v="20"/>
    <n v="16"/>
    <s v="A|B|C"/>
    <n v="0"/>
    <n v="0"/>
    <n v="16"/>
    <n v="0"/>
    <n v="0"/>
    <n v="16"/>
  </r>
  <r>
    <d v="2026-03-25T00:00:00"/>
    <s v="20/03/2026"/>
    <x v="3"/>
    <x v="1"/>
    <x v="92"/>
    <x v="91"/>
    <x v="4"/>
    <x v="4"/>
    <s v="JAD"/>
    <x v="4"/>
    <x v="0"/>
    <n v="27461"/>
    <n v="77"/>
    <n v="24"/>
    <n v="4129.9440000000004"/>
    <n v="670.7"/>
    <n v="20"/>
    <n v="10"/>
    <s v="A|B|C"/>
    <n v="12"/>
    <n v="6"/>
    <n v="4"/>
    <n v="0"/>
    <n v="0"/>
    <n v="22"/>
  </r>
  <r>
    <d v="2026-03-26T00:00:00"/>
    <s v="20/03/2026"/>
    <x v="3"/>
    <x v="1"/>
    <x v="93"/>
    <x v="92"/>
    <x v="4"/>
    <x v="4"/>
    <s v="JAD"/>
    <x v="5"/>
    <x v="0"/>
    <n v="27461"/>
    <n v="48"/>
    <n v="8"/>
    <n v="2353.2440000000001"/>
    <n v="128.80000000000001"/>
    <n v="30"/>
    <n v="4"/>
    <s v="A|B|C"/>
    <n v="5"/>
    <n v="3"/>
    <n v="1"/>
    <n v="0"/>
    <n v="0"/>
    <n v="9"/>
  </r>
  <r>
    <d v="2026-03-26T00:00:00"/>
    <s v="20/03/2026"/>
    <x v="3"/>
    <x v="0"/>
    <x v="0"/>
    <x v="0"/>
    <x v="4"/>
    <x v="4"/>
    <s v="JAD"/>
    <x v="0"/>
    <x v="1"/>
    <n v="27460"/>
    <n v="27"/>
    <n v="10"/>
    <n v="1012.004"/>
    <n v="103.2"/>
    <n v="25"/>
    <n v="5"/>
    <s v="A|B|C"/>
    <n v="3"/>
    <n v="5"/>
    <n v="0"/>
    <n v="0"/>
    <n v="0"/>
    <n v="8"/>
  </r>
  <r>
    <d v="2026-03-26T00:00:00"/>
    <s v="20/03/2026"/>
    <x v="3"/>
    <x v="0"/>
    <x v="57"/>
    <x v="56"/>
    <x v="4"/>
    <x v="4"/>
    <s v="JAD"/>
    <x v="5"/>
    <x v="1"/>
    <n v="27460"/>
    <n v="14"/>
    <n v="2"/>
    <n v="420.483"/>
    <n v="49.1"/>
    <n v="117"/>
    <n v="1"/>
    <s v="A|B|C"/>
    <n v="1"/>
    <n v="1"/>
    <n v="0"/>
    <n v="0"/>
    <n v="0"/>
    <n v="2"/>
  </r>
  <r>
    <d v="2026-03-26T00:00:00"/>
    <s v="20/03/2026"/>
    <x v="3"/>
    <x v="0"/>
    <x v="59"/>
    <x v="58"/>
    <x v="4"/>
    <x v="4"/>
    <s v="JAD"/>
    <x v="5"/>
    <x v="1"/>
    <n v="27460"/>
    <n v="26"/>
    <n v="6"/>
    <n v="579.95299999999997"/>
    <n v="75.2"/>
    <n v="25"/>
    <n v="3"/>
    <s v="A|B|C"/>
    <n v="3"/>
    <n v="1"/>
    <n v="2"/>
    <n v="0"/>
    <n v="0"/>
    <n v="6"/>
  </r>
  <r>
    <d v="2026-03-26T00:00:00"/>
    <s v="20/03/2026"/>
    <x v="3"/>
    <x v="0"/>
    <x v="22"/>
    <x v="21"/>
    <x v="4"/>
    <x v="4"/>
    <s v="JAD"/>
    <x v="0"/>
    <x v="1"/>
    <n v="27460"/>
    <n v="58"/>
    <n v="18"/>
    <n v="1789.7349999999999"/>
    <n v="504.3"/>
    <n v="25"/>
    <n v="9"/>
    <s v="A|B|C"/>
    <n v="9"/>
    <n v="8"/>
    <n v="1"/>
    <n v="0"/>
    <n v="0"/>
    <n v="18"/>
  </r>
  <r>
    <d v="2026-03-26T00:00:00"/>
    <s v="20/03/2026"/>
    <x v="3"/>
    <x v="0"/>
    <x v="60"/>
    <x v="59"/>
    <x v="4"/>
    <x v="4"/>
    <s v="JAD"/>
    <x v="1"/>
    <x v="1"/>
    <n v="27460"/>
    <n v="16"/>
    <n v="2"/>
    <n v="492.13600000000002"/>
    <n v="18.899999999999999"/>
    <n v="120"/>
    <n v="1"/>
    <s v="A|B|C"/>
    <n v="1"/>
    <n v="1"/>
    <n v="0"/>
    <n v="0"/>
    <n v="0"/>
    <n v="2"/>
  </r>
  <r>
    <d v="2026-03-26T00:00:00"/>
    <s v="20/03/2026"/>
    <x v="3"/>
    <x v="0"/>
    <x v="61"/>
    <x v="60"/>
    <x v="4"/>
    <x v="4"/>
    <s v="JAD"/>
    <x v="5"/>
    <x v="1"/>
    <n v="27460"/>
    <n v="16"/>
    <n v="4"/>
    <n v="802.66200000000003"/>
    <n v="34.4"/>
    <n v="30"/>
    <n v="2"/>
    <s v="A|B|C"/>
    <n v="2"/>
    <n v="2"/>
    <n v="0"/>
    <n v="0"/>
    <n v="0"/>
    <n v="4"/>
  </r>
  <r>
    <d v="2026-03-26T00:00:00"/>
    <s v="20/03/2026"/>
    <x v="3"/>
    <x v="0"/>
    <x v="62"/>
    <x v="61"/>
    <x v="4"/>
    <x v="4"/>
    <s v="JAD"/>
    <x v="1"/>
    <x v="1"/>
    <n v="27460"/>
    <n v="38"/>
    <n v="2"/>
    <n v="330.29599999999999"/>
    <n v="38.700000000000003"/>
    <n v="60"/>
    <n v="1"/>
    <s v="A|B|C"/>
    <n v="2"/>
    <n v="0"/>
    <n v="1"/>
    <n v="0"/>
    <n v="0"/>
    <n v="3"/>
  </r>
  <r>
    <d v="2026-03-26T00:00:00"/>
    <s v="20/03/2026"/>
    <x v="3"/>
    <x v="7"/>
    <x v="63"/>
    <x v="62"/>
    <x v="4"/>
    <x v="4"/>
    <s v="JAD"/>
    <x v="4"/>
    <x v="1"/>
    <n v="27460"/>
    <n v="9"/>
    <n v="10"/>
    <n v="386.43900000000002"/>
    <n v="58.48"/>
    <n v="120"/>
    <n v="1"/>
    <s v="A|B|C"/>
    <n v="1"/>
    <n v="1"/>
    <n v="0"/>
    <n v="0"/>
    <n v="0"/>
    <n v="2"/>
  </r>
  <r>
    <d v="2026-03-26T00:00:00"/>
    <s v="20/03/2026"/>
    <x v="3"/>
    <x v="7"/>
    <x v="64"/>
    <x v="63"/>
    <x v="4"/>
    <x v="4"/>
    <s v="JAD"/>
    <x v="0"/>
    <x v="1"/>
    <n v="27460"/>
    <n v="26"/>
    <n v="2"/>
    <n v="657.56899999999996"/>
    <n v="0.2"/>
    <n v="75"/>
    <n v="1"/>
    <s v="A|B|C"/>
    <n v="1"/>
    <n v="1"/>
    <n v="0"/>
    <n v="0"/>
    <n v="0"/>
    <n v="2"/>
  </r>
  <r>
    <d v="2026-03-26T00:00:00"/>
    <s v="20/03/2026"/>
    <x v="3"/>
    <x v="7"/>
    <x v="65"/>
    <x v="64"/>
    <x v="4"/>
    <x v="4"/>
    <s v="JAD"/>
    <x v="5"/>
    <x v="1"/>
    <n v="27460"/>
    <n v="13"/>
    <n v="2"/>
    <n v="526.90300000000002"/>
    <n v="21.7"/>
    <n v="90"/>
    <n v="1"/>
    <s v="A|B|C"/>
    <n v="2"/>
    <n v="0"/>
    <n v="1"/>
    <n v="0"/>
    <n v="0"/>
    <n v="3"/>
  </r>
  <r>
    <d v="2026-03-26T00:00:00"/>
    <s v="20/03/2026"/>
    <x v="3"/>
    <x v="8"/>
    <x v="66"/>
    <x v="65"/>
    <x v="4"/>
    <x v="4"/>
    <s v="JAD"/>
    <x v="4"/>
    <x v="1"/>
    <n v="27460"/>
    <n v="108"/>
    <n v="26"/>
    <n v="12636.392"/>
    <n v="451.6"/>
    <n v="20"/>
    <n v="13"/>
    <s v="A|B|C"/>
    <n v="14"/>
    <n v="9"/>
    <n v="6"/>
    <n v="0"/>
    <n v="0"/>
    <n v="29"/>
  </r>
  <r>
    <d v="2026-03-26T00:00:00"/>
    <s v="20/03/2026"/>
    <x v="3"/>
    <x v="3"/>
    <x v="67"/>
    <x v="66"/>
    <x v="4"/>
    <x v="4"/>
    <s v="JAD"/>
    <x v="5"/>
    <x v="1"/>
    <n v="27460"/>
    <n v="34"/>
    <n v="6"/>
    <n v="766.95299999999997"/>
    <n v="106.2"/>
    <n v="35"/>
    <n v="3"/>
    <s v="A|B|C"/>
    <n v="5"/>
    <n v="1"/>
    <n v="2"/>
    <n v="0"/>
    <n v="0"/>
    <n v="8"/>
  </r>
  <r>
    <d v="2026-03-26T00:00:00"/>
    <s v="20/03/2026"/>
    <x v="3"/>
    <x v="3"/>
    <x v="68"/>
    <x v="67"/>
    <x v="4"/>
    <x v="4"/>
    <s v="JAD"/>
    <x v="5"/>
    <x v="1"/>
    <n v="27460"/>
    <n v="63"/>
    <n v="10"/>
    <n v="1364.6179999999999"/>
    <n v="113.6"/>
    <n v="20"/>
    <n v="5"/>
    <s v="A|B|C"/>
    <n v="5"/>
    <n v="2"/>
    <n v="2"/>
    <n v="0"/>
    <n v="0"/>
    <n v="9"/>
  </r>
  <r>
    <d v="2026-03-26T00:00:00"/>
    <s v="20/03/2026"/>
    <x v="3"/>
    <x v="3"/>
    <x v="69"/>
    <x v="68"/>
    <x v="4"/>
    <x v="4"/>
    <s v="JAD"/>
    <x v="5"/>
    <x v="1"/>
    <n v="27460"/>
    <n v="33"/>
    <n v="8"/>
    <n v="982.67399999999998"/>
    <n v="42"/>
    <n v="25"/>
    <n v="3"/>
    <s v="A|B|C"/>
    <n v="3"/>
    <n v="2"/>
    <n v="2"/>
    <n v="0"/>
    <n v="0"/>
    <n v="7"/>
  </r>
  <r>
    <d v="2026-03-26T00:00:00"/>
    <s v="20/03/2026"/>
    <x v="3"/>
    <x v="3"/>
    <x v="70"/>
    <x v="69"/>
    <x v="4"/>
    <x v="4"/>
    <s v="JAD"/>
    <x v="0"/>
    <x v="1"/>
    <n v="27460"/>
    <n v="39"/>
    <n v="4"/>
    <n v="503.733"/>
    <n v="6.2"/>
    <n v="30"/>
    <n v="2"/>
    <s v="A|B|C"/>
    <n v="3"/>
    <n v="1"/>
    <n v="1"/>
    <n v="0"/>
    <n v="0"/>
    <n v="5"/>
  </r>
  <r>
    <d v="2026-03-26T00:00:00"/>
    <s v="20/03/2026"/>
    <x v="3"/>
    <x v="3"/>
    <x v="71"/>
    <x v="70"/>
    <x v="4"/>
    <x v="4"/>
    <s v="JAD"/>
    <x v="0"/>
    <x v="1"/>
    <n v="27460"/>
    <n v="52"/>
    <n v="8"/>
    <n v="1112.038"/>
    <n v="49.25"/>
    <n v="15"/>
    <n v="4"/>
    <s v="A|B|C"/>
    <n v="4"/>
    <n v="3"/>
    <n v="0"/>
    <n v="0"/>
    <n v="0"/>
    <n v="7"/>
  </r>
  <r>
    <d v="2026-03-26T00:00:00"/>
    <s v="20/03/2026"/>
    <x v="3"/>
    <x v="3"/>
    <x v="72"/>
    <x v="71"/>
    <x v="4"/>
    <x v="4"/>
    <s v="JAD"/>
    <x v="1"/>
    <x v="1"/>
    <n v="27460"/>
    <n v="34"/>
    <n v="4"/>
    <n v="327.20499999999998"/>
    <n v="23"/>
    <n v="25"/>
    <n v="2"/>
    <s v="A|B|C"/>
    <n v="2"/>
    <n v="1"/>
    <n v="1"/>
    <n v="0"/>
    <n v="0"/>
    <n v="4"/>
  </r>
  <r>
    <d v="2026-03-26T00:00:00"/>
    <s v="20/03/2026"/>
    <x v="3"/>
    <x v="3"/>
    <x v="73"/>
    <x v="72"/>
    <x v="4"/>
    <x v="4"/>
    <s v="JAD"/>
    <x v="0"/>
    <x v="1"/>
    <n v="27460"/>
    <n v="120"/>
    <n v="30"/>
    <n v="2669.1280000000002"/>
    <n v="279.89999999999998"/>
    <n v="15"/>
    <n v="11"/>
    <s v="A|B|C"/>
    <n v="12"/>
    <n v="6"/>
    <n v="5"/>
    <n v="0"/>
    <n v="0"/>
    <n v="23"/>
  </r>
  <r>
    <d v="2026-03-26T00:00:00"/>
    <s v="20/03/2026"/>
    <x v="3"/>
    <x v="3"/>
    <x v="74"/>
    <x v="73"/>
    <x v="4"/>
    <x v="4"/>
    <s v="JAD"/>
    <x v="5"/>
    <x v="1"/>
    <n v="27460"/>
    <n v="83"/>
    <n v="14"/>
    <n v="1901.6110000000001"/>
    <n v="106.1"/>
    <n v="25"/>
    <n v="7"/>
    <s v="A|B|C"/>
    <n v="8"/>
    <n v="4"/>
    <n v="3"/>
    <n v="0"/>
    <n v="0"/>
    <n v="15"/>
  </r>
  <r>
    <d v="2026-03-26T00:00:00"/>
    <s v="20/03/2026"/>
    <x v="3"/>
    <x v="3"/>
    <x v="75"/>
    <x v="74"/>
    <x v="4"/>
    <x v="4"/>
    <s v="JAD"/>
    <x v="5"/>
    <x v="1"/>
    <n v="27460"/>
    <n v="93"/>
    <n v="11"/>
    <n v="2454.4899999999998"/>
    <n v="123.9"/>
    <n v="20"/>
    <n v="5"/>
    <s v="A|B|C"/>
    <n v="9"/>
    <n v="1"/>
    <n v="5"/>
    <n v="0"/>
    <n v="0"/>
    <n v="15"/>
  </r>
  <r>
    <d v="2026-03-26T00:00:00"/>
    <s v="20/03/2026"/>
    <x v="3"/>
    <x v="3"/>
    <x v="76"/>
    <x v="75"/>
    <x v="4"/>
    <x v="4"/>
    <s v="JAD"/>
    <x v="5"/>
    <x v="1"/>
    <n v="27460"/>
    <n v="64"/>
    <n v="14"/>
    <n v="2256.1979999999999"/>
    <n v="122.04"/>
    <n v="15"/>
    <n v="7"/>
    <s v="A|B|C"/>
    <n v="7"/>
    <n v="5"/>
    <n v="3"/>
    <n v="0"/>
    <n v="0"/>
    <n v="15"/>
  </r>
  <r>
    <d v="2026-03-26T00:00:00"/>
    <s v="20/03/2026"/>
    <x v="3"/>
    <x v="3"/>
    <x v="77"/>
    <x v="76"/>
    <x v="4"/>
    <x v="4"/>
    <s v="JAD"/>
    <x v="5"/>
    <x v="1"/>
    <n v="27460"/>
    <n v="52"/>
    <n v="12"/>
    <n v="1483.846"/>
    <n v="88.9"/>
    <n v="20"/>
    <n v="5"/>
    <s v="A|B|C"/>
    <n v="5"/>
    <n v="5"/>
    <n v="0"/>
    <n v="0"/>
    <n v="0"/>
    <n v="10"/>
  </r>
  <r>
    <d v="2026-03-26T00:00:00"/>
    <s v="20/03/2026"/>
    <x v="3"/>
    <x v="3"/>
    <x v="78"/>
    <x v="77"/>
    <x v="4"/>
    <x v="4"/>
    <s v="JAD"/>
    <x v="5"/>
    <x v="1"/>
    <n v="27460"/>
    <n v="38"/>
    <n v="4"/>
    <n v="517.23099999999999"/>
    <n v="26.3"/>
    <n v="25"/>
    <n v="2"/>
    <s v="A|B|C"/>
    <n v="2"/>
    <n v="1"/>
    <n v="1"/>
    <n v="0"/>
    <n v="0"/>
    <n v="4"/>
  </r>
  <r>
    <d v="2026-03-26T00:00:00"/>
    <s v="20/03/2026"/>
    <x v="3"/>
    <x v="3"/>
    <x v="79"/>
    <x v="78"/>
    <x v="4"/>
    <x v="4"/>
    <s v="JAD"/>
    <x v="5"/>
    <x v="1"/>
    <n v="27460"/>
    <n v="63"/>
    <n v="13"/>
    <n v="3078.56"/>
    <n v="316.39999999999998"/>
    <n v="30"/>
    <n v="7"/>
    <s v="A|B|C"/>
    <n v="9"/>
    <n v="2"/>
    <n v="4"/>
    <n v="0"/>
    <n v="0"/>
    <n v="15"/>
  </r>
  <r>
    <d v="2026-03-26T00:00:00"/>
    <s v="20/03/2026"/>
    <x v="3"/>
    <x v="3"/>
    <x v="80"/>
    <x v="79"/>
    <x v="4"/>
    <x v="4"/>
    <s v="JAD"/>
    <x v="5"/>
    <x v="1"/>
    <n v="27460"/>
    <n v="36"/>
    <n v="10"/>
    <n v="2033.0719999999999"/>
    <n v="123.8"/>
    <n v="25"/>
    <n v="5"/>
    <s v="A|B|C"/>
    <n v="5"/>
    <n v="3"/>
    <n v="2"/>
    <n v="0"/>
    <n v="0"/>
    <n v="10"/>
  </r>
  <r>
    <d v="2026-03-26T00:00:00"/>
    <s v="20/03/2026"/>
    <x v="3"/>
    <x v="3"/>
    <x v="81"/>
    <x v="80"/>
    <x v="4"/>
    <x v="4"/>
    <s v="JAD"/>
    <x v="5"/>
    <x v="1"/>
    <n v="27460"/>
    <n v="72"/>
    <n v="8"/>
    <n v="1949.1479999999999"/>
    <n v="185.8"/>
    <n v="30"/>
    <n v="4"/>
    <s v="A|B|C"/>
    <n v="5"/>
    <n v="3"/>
    <n v="1"/>
    <n v="0"/>
    <n v="0"/>
    <n v="9"/>
  </r>
  <r>
    <d v="2026-03-26T00:00:00"/>
    <s v="20/03/2026"/>
    <x v="3"/>
    <x v="3"/>
    <x v="82"/>
    <x v="81"/>
    <x v="4"/>
    <x v="4"/>
    <s v="JAD"/>
    <x v="5"/>
    <x v="1"/>
    <n v="27460"/>
    <n v="36"/>
    <n v="2"/>
    <n v="395.75200000000001"/>
    <n v="15.2"/>
    <n v="30"/>
    <n v="1"/>
    <s v="A|B|C"/>
    <n v="1"/>
    <n v="1"/>
    <n v="0"/>
    <n v="0"/>
    <n v="0"/>
    <n v="2"/>
  </r>
  <r>
    <d v="2026-03-26T00:00:00"/>
    <s v="20/03/2026"/>
    <x v="3"/>
    <x v="3"/>
    <x v="83"/>
    <x v="82"/>
    <x v="4"/>
    <x v="4"/>
    <s v="JAD"/>
    <x v="1"/>
    <x v="1"/>
    <n v="27460"/>
    <n v="38"/>
    <n v="2"/>
    <n v="155.68600000000001"/>
    <n v="37.5"/>
    <n v="30"/>
    <n v="1"/>
    <s v="A|B|C"/>
    <n v="2"/>
    <n v="0"/>
    <n v="1"/>
    <n v="0"/>
    <n v="0"/>
    <n v="3"/>
  </r>
  <r>
    <d v="2026-03-26T00:00:00"/>
    <s v="20/03/2026"/>
    <x v="3"/>
    <x v="3"/>
    <x v="84"/>
    <x v="83"/>
    <x v="4"/>
    <x v="4"/>
    <s v="JAD"/>
    <x v="1"/>
    <x v="1"/>
    <n v="27460"/>
    <n v="38"/>
    <n v="2"/>
    <n v="116.736"/>
    <n v="37.9"/>
    <n v="30"/>
    <n v="1"/>
    <s v="A|B|C"/>
    <n v="2"/>
    <n v="0"/>
    <n v="1"/>
    <n v="0"/>
    <n v="0"/>
    <n v="3"/>
  </r>
  <r>
    <d v="2026-03-26T00:00:00"/>
    <s v="20/03/2026"/>
    <x v="3"/>
    <x v="0"/>
    <x v="85"/>
    <x v="84"/>
    <x v="4"/>
    <x v="4"/>
    <s v="JAD"/>
    <x v="0"/>
    <x v="1"/>
    <n v="27460"/>
    <n v="37"/>
    <n v="6"/>
    <n v="1125.096"/>
    <n v="57.09"/>
    <n v="30"/>
    <n v="3"/>
    <s v="A|B|C"/>
    <n v="5"/>
    <n v="1"/>
    <n v="2"/>
    <n v="0"/>
    <n v="0"/>
    <n v="8"/>
  </r>
  <r>
    <d v="2026-03-26T00:00:00"/>
    <s v="20/03/2026"/>
    <x v="3"/>
    <x v="0"/>
    <x v="86"/>
    <x v="85"/>
    <x v="4"/>
    <x v="4"/>
    <s v="JAD"/>
    <x v="0"/>
    <x v="1"/>
    <n v="27460"/>
    <n v="17"/>
    <n v="2"/>
    <n v="233.59700000000001"/>
    <n v="40.299999999999997"/>
    <n v="60"/>
    <n v="1"/>
    <s v="A|B|C"/>
    <n v="1"/>
    <n v="1"/>
    <n v="0"/>
    <n v="0"/>
    <n v="0"/>
    <n v="2"/>
  </r>
  <r>
    <d v="2026-03-26T00:00:00"/>
    <s v="20/03/2026"/>
    <x v="3"/>
    <x v="0"/>
    <x v="87"/>
    <x v="86"/>
    <x v="4"/>
    <x v="4"/>
    <s v="JAD"/>
    <x v="0"/>
    <x v="1"/>
    <n v="27460"/>
    <n v="17"/>
    <n v="2"/>
    <n v="299.25099999999998"/>
    <n v="28.3"/>
    <n v="58"/>
    <n v="1"/>
    <s v="A|B|C"/>
    <n v="1"/>
    <n v="1"/>
    <n v="0"/>
    <n v="0"/>
    <n v="0"/>
    <n v="2"/>
  </r>
  <r>
    <d v="2026-03-26T00:00:00"/>
    <s v="20/03/2026"/>
    <x v="3"/>
    <x v="0"/>
    <x v="88"/>
    <x v="87"/>
    <x v="4"/>
    <x v="4"/>
    <s v="JAD"/>
    <x v="0"/>
    <x v="1"/>
    <n v="27460"/>
    <n v="34"/>
    <n v="4"/>
    <n v="693.32799999999997"/>
    <n v="80.599999999999994"/>
    <n v="30"/>
    <n v="2"/>
    <s v="A|B|C"/>
    <n v="2"/>
    <n v="2"/>
    <n v="0"/>
    <n v="0"/>
    <n v="0"/>
    <n v="4"/>
  </r>
  <r>
    <d v="2026-03-26T00:00:00"/>
    <s v="20/03/2026"/>
    <x v="3"/>
    <x v="7"/>
    <x v="89"/>
    <x v="88"/>
    <x v="4"/>
    <x v="4"/>
    <s v="JAD"/>
    <x v="0"/>
    <x v="1"/>
    <n v="27460"/>
    <n v="39"/>
    <n v="2"/>
    <n v="134.35499999999999"/>
    <n v="38.200000000000003"/>
    <n v="20"/>
    <n v="1"/>
    <s v="A|B|C"/>
    <n v="1"/>
    <n v="1"/>
    <n v="0"/>
    <n v="0"/>
    <n v="0"/>
    <n v="2"/>
  </r>
  <r>
    <d v="2026-03-26T00:00:00"/>
    <s v="20/03/2026"/>
    <x v="3"/>
    <x v="7"/>
    <x v="90"/>
    <x v="89"/>
    <x v="4"/>
    <x v="4"/>
    <s v="JAD"/>
    <x v="0"/>
    <x v="1"/>
    <n v="27460"/>
    <n v="39"/>
    <n v="2"/>
    <n v="129.714"/>
    <n v="29.4"/>
    <n v="20"/>
    <n v="1"/>
    <s v="A|B|C"/>
    <n v="1"/>
    <n v="1"/>
    <n v="0"/>
    <n v="0"/>
    <n v="0"/>
    <n v="2"/>
  </r>
  <r>
    <d v="2026-03-26T00:00:00"/>
    <s v="20/03/2026"/>
    <x v="3"/>
    <x v="9"/>
    <x v="91"/>
    <x v="90"/>
    <x v="4"/>
    <x v="4"/>
    <s v="JAD"/>
    <x v="5"/>
    <x v="1"/>
    <n v="27460"/>
    <n v="40"/>
    <n v="32"/>
    <n v="2653.288"/>
    <n v="1099.2"/>
    <n v="20"/>
    <n v="16"/>
    <s v="A|B|C"/>
    <n v="0"/>
    <n v="0"/>
    <n v="16"/>
    <n v="0"/>
    <n v="0"/>
    <n v="16"/>
  </r>
  <r>
    <d v="2026-03-26T00:00:00"/>
    <s v="20/03/2026"/>
    <x v="3"/>
    <x v="1"/>
    <x v="92"/>
    <x v="91"/>
    <x v="4"/>
    <x v="4"/>
    <s v="JAD"/>
    <x v="4"/>
    <x v="1"/>
    <n v="27460"/>
    <n v="78"/>
    <n v="24"/>
    <n v="4184.8440000000001"/>
    <n v="690.4"/>
    <n v="20"/>
    <n v="10"/>
    <s v="A|B|C"/>
    <n v="10"/>
    <n v="6"/>
    <n v="4"/>
    <n v="0"/>
    <n v="0"/>
    <n v="20"/>
  </r>
  <r>
    <d v="2026-03-26T00:00:00"/>
    <s v="20/03/2026"/>
    <x v="3"/>
    <x v="1"/>
    <x v="93"/>
    <x v="92"/>
    <x v="4"/>
    <x v="4"/>
    <s v="JAD"/>
    <x v="5"/>
    <x v="1"/>
    <n v="27460"/>
    <n v="59"/>
    <n v="12"/>
    <n v="2890.2660000000001"/>
    <n v="174.3"/>
    <n v="30"/>
    <n v="5"/>
    <s v="A|B|C"/>
    <n v="6"/>
    <n v="3"/>
    <n v="2"/>
    <n v="0"/>
    <n v="0"/>
    <n v="11"/>
  </r>
  <r>
    <d v="2026-03-26T00:00:00"/>
    <s v="20/03/2026"/>
    <x v="3"/>
    <x v="0"/>
    <x v="0"/>
    <x v="0"/>
    <x v="4"/>
    <x v="4"/>
    <s v="JAD"/>
    <x v="0"/>
    <x v="2"/>
    <n v="27462"/>
    <n v="24"/>
    <n v="6"/>
    <n v="899.59100000000001"/>
    <n v="0.6"/>
    <n v="25"/>
    <n v="3"/>
    <s v="A|B|C"/>
    <n v="3"/>
    <n v="3"/>
    <n v="0"/>
    <n v="0"/>
    <n v="0"/>
    <n v="6"/>
  </r>
  <r>
    <d v="2026-03-26T00:00:00"/>
    <s v="20/03/2026"/>
    <x v="3"/>
    <x v="0"/>
    <x v="57"/>
    <x v="56"/>
    <x v="4"/>
    <x v="4"/>
    <s v="JAD"/>
    <x v="5"/>
    <x v="2"/>
    <n v="27462"/>
    <n v="26"/>
    <n v="4"/>
    <n v="780.89700000000005"/>
    <n v="98.2"/>
    <n v="55"/>
    <n v="2"/>
    <s v="A|B|C"/>
    <n v="2"/>
    <n v="2"/>
    <n v="0"/>
    <n v="0"/>
    <n v="0"/>
    <n v="4"/>
  </r>
  <r>
    <d v="2026-03-26T00:00:00"/>
    <s v="20/03/2026"/>
    <x v="3"/>
    <x v="0"/>
    <x v="22"/>
    <x v="21"/>
    <x v="4"/>
    <x v="4"/>
    <s v="JAD"/>
    <x v="0"/>
    <x v="2"/>
    <n v="27462"/>
    <n v="34"/>
    <n v="10"/>
    <n v="1049.155"/>
    <n v="230.3"/>
    <n v="30"/>
    <n v="5"/>
    <s v="A|B|C"/>
    <n v="5"/>
    <n v="4"/>
    <n v="2"/>
    <n v="0"/>
    <n v="0"/>
    <n v="11"/>
  </r>
  <r>
    <d v="2026-03-20T00:00:00"/>
    <s v="20/03/2026"/>
    <x v="3"/>
    <x v="0"/>
    <x v="60"/>
    <x v="59"/>
    <x v="4"/>
    <x v="4"/>
    <s v="JAD"/>
    <x v="1"/>
    <x v="2"/>
    <n v="27462"/>
    <n v="17"/>
    <n v="4"/>
    <n v="522.70600000000002"/>
    <n v="81.2"/>
    <n v="60"/>
    <n v="2"/>
    <s v="A|B|C"/>
    <n v="1"/>
    <n v="2"/>
    <n v="0"/>
    <n v="0"/>
    <n v="0"/>
    <n v="3"/>
  </r>
  <r>
    <d v="2026-03-20T00:00:00"/>
    <s v="20/03/2026"/>
    <x v="3"/>
    <x v="0"/>
    <x v="61"/>
    <x v="60"/>
    <x v="4"/>
    <x v="4"/>
    <s v="JAD"/>
    <x v="5"/>
    <x v="2"/>
    <n v="27462"/>
    <n v="28"/>
    <n v="6"/>
    <n v="1404.6590000000001"/>
    <n v="51.6"/>
    <n v="30"/>
    <n v="3"/>
    <s v="A|B|C"/>
    <n v="3"/>
    <n v="3"/>
    <n v="0"/>
    <n v="0"/>
    <n v="0"/>
    <n v="6"/>
  </r>
  <r>
    <d v="2026-03-20T00:00:00"/>
    <s v="20/03/2026"/>
    <x v="3"/>
    <x v="0"/>
    <x v="94"/>
    <x v="93"/>
    <x v="4"/>
    <x v="4"/>
    <s v="JAD"/>
    <x v="5"/>
    <x v="2"/>
    <n v="27462"/>
    <n v="46"/>
    <n v="10"/>
    <n v="2627.0349999999999"/>
    <n v="265.7"/>
    <n v="30"/>
    <n v="5"/>
    <s v="A|B|C"/>
    <n v="5"/>
    <n v="5"/>
    <n v="0"/>
    <n v="0"/>
    <n v="0"/>
    <n v="10"/>
  </r>
  <r>
    <d v="2026-03-20T00:00:00"/>
    <s v="20/03/2026"/>
    <x v="3"/>
    <x v="0"/>
    <x v="62"/>
    <x v="61"/>
    <x v="4"/>
    <x v="4"/>
    <s v="JAD"/>
    <x v="1"/>
    <x v="2"/>
    <n v="27462"/>
    <n v="37"/>
    <n v="2"/>
    <n v="320.87599999999998"/>
    <n v="31.9"/>
    <n v="59"/>
    <n v="1"/>
    <s v="A|B|C"/>
    <n v="1"/>
    <n v="1"/>
    <n v="0"/>
    <n v="0"/>
    <n v="0"/>
    <n v="2"/>
  </r>
  <r>
    <d v="2026-03-20T00:00:00"/>
    <s v="20/03/2026"/>
    <x v="3"/>
    <x v="7"/>
    <x v="63"/>
    <x v="62"/>
    <x v="4"/>
    <x v="4"/>
    <s v="JAD"/>
    <x v="4"/>
    <x v="2"/>
    <n v="27462"/>
    <n v="9"/>
    <n v="10"/>
    <n v="386.43900000000002"/>
    <n v="58.48"/>
    <n v="120"/>
    <n v="1"/>
    <s v="A|B|C"/>
    <n v="1"/>
    <n v="1"/>
    <n v="0"/>
    <n v="0"/>
    <n v="0"/>
    <n v="2"/>
  </r>
  <r>
    <d v="2026-03-21T00:00:00"/>
    <s v="20/03/2026"/>
    <x v="3"/>
    <x v="7"/>
    <x v="64"/>
    <x v="63"/>
    <x v="4"/>
    <x v="4"/>
    <s v="JAD"/>
    <x v="0"/>
    <x v="2"/>
    <n v="27462"/>
    <n v="26"/>
    <n v="2"/>
    <n v="657.56899999999996"/>
    <n v="0.2"/>
    <n v="75"/>
    <n v="1"/>
    <s v="A|B|C"/>
    <n v="1"/>
    <n v="1"/>
    <n v="0"/>
    <n v="0"/>
    <n v="0"/>
    <n v="2"/>
  </r>
  <r>
    <d v="2026-03-21T00:00:00"/>
    <s v="20/03/2026"/>
    <x v="3"/>
    <x v="7"/>
    <x v="65"/>
    <x v="64"/>
    <x v="4"/>
    <x v="4"/>
    <s v="JAD"/>
    <x v="5"/>
    <x v="2"/>
    <n v="27462"/>
    <n v="13"/>
    <n v="2"/>
    <n v="526.90300000000002"/>
    <n v="21.7"/>
    <n v="90"/>
    <n v="1"/>
    <s v="A|B|C"/>
    <n v="2"/>
    <n v="0"/>
    <n v="1"/>
    <n v="0"/>
    <n v="0"/>
    <n v="3"/>
  </r>
  <r>
    <d v="2026-03-21T00:00:00"/>
    <s v="20/03/2026"/>
    <x v="3"/>
    <x v="8"/>
    <x v="66"/>
    <x v="65"/>
    <x v="4"/>
    <x v="4"/>
    <s v="JAD"/>
    <x v="4"/>
    <x v="2"/>
    <n v="27462"/>
    <n v="108"/>
    <n v="26"/>
    <n v="12638.808000000001"/>
    <n v="237.6"/>
    <n v="20"/>
    <n v="13"/>
    <s v="A|B|C"/>
    <n v="15"/>
    <n v="6"/>
    <n v="10"/>
    <n v="0"/>
    <n v="0"/>
    <n v="31"/>
  </r>
  <r>
    <d v="2026-03-21T00:00:00"/>
    <s v="20/03/2026"/>
    <x v="3"/>
    <x v="3"/>
    <x v="67"/>
    <x v="66"/>
    <x v="4"/>
    <x v="4"/>
    <s v="JAD"/>
    <x v="5"/>
    <x v="2"/>
    <n v="27462"/>
    <n v="26"/>
    <n v="6"/>
    <n v="581.02499999999998"/>
    <n v="106.2"/>
    <n v="35"/>
    <n v="3"/>
    <s v="A|B|C"/>
    <n v="2"/>
    <n v="2"/>
    <n v="2"/>
    <n v="0"/>
    <n v="0"/>
    <n v="6"/>
  </r>
  <r>
    <d v="2026-03-21T00:00:00"/>
    <s v="20/03/2026"/>
    <x v="3"/>
    <x v="3"/>
    <x v="68"/>
    <x v="67"/>
    <x v="4"/>
    <x v="4"/>
    <s v="JAD"/>
    <x v="5"/>
    <x v="2"/>
    <n v="27462"/>
    <n v="42"/>
    <n v="6"/>
    <n v="935.21400000000006"/>
    <n v="63.6"/>
    <n v="30"/>
    <n v="3"/>
    <s v="A|B|C"/>
    <n v="3"/>
    <n v="3"/>
    <n v="0"/>
    <n v="0"/>
    <n v="0"/>
    <n v="6"/>
  </r>
  <r>
    <d v="2026-03-21T00:00:00"/>
    <s v="20/03/2026"/>
    <x v="3"/>
    <x v="3"/>
    <x v="69"/>
    <x v="68"/>
    <x v="4"/>
    <x v="4"/>
    <s v="JAD"/>
    <x v="5"/>
    <x v="2"/>
    <n v="27462"/>
    <n v="36"/>
    <n v="6"/>
    <n v="1072.008"/>
    <n v="31.5"/>
    <n v="25"/>
    <n v="3"/>
    <s v="A|B|C"/>
    <n v="3"/>
    <n v="2"/>
    <n v="1"/>
    <n v="0"/>
    <n v="0"/>
    <n v="6"/>
  </r>
  <r>
    <d v="2026-03-21T00:00:00"/>
    <s v="20/03/2026"/>
    <x v="3"/>
    <x v="3"/>
    <x v="70"/>
    <x v="69"/>
    <x v="4"/>
    <x v="4"/>
    <s v="JAD"/>
    <x v="0"/>
    <x v="2"/>
    <n v="27462"/>
    <n v="46"/>
    <n v="6"/>
    <n v="601.23400000000004"/>
    <n v="24.1"/>
    <n v="18"/>
    <n v="3"/>
    <s v="A|B|C"/>
    <n v="2"/>
    <n v="2"/>
    <n v="1"/>
    <n v="0"/>
    <n v="0"/>
    <n v="5"/>
  </r>
  <r>
    <d v="2026-03-22T00:00:00"/>
    <s v="20/03/2026"/>
    <x v="3"/>
    <x v="3"/>
    <x v="71"/>
    <x v="70"/>
    <x v="4"/>
    <x v="4"/>
    <s v="JAD"/>
    <x v="0"/>
    <x v="2"/>
    <n v="27462"/>
    <n v="48"/>
    <n v="6"/>
    <n v="1033.7470000000001"/>
    <n v="27"/>
    <n v="20"/>
    <n v="3"/>
    <s v="A|B|C"/>
    <n v="3"/>
    <n v="3"/>
    <n v="0"/>
    <n v="0"/>
    <n v="0"/>
    <n v="6"/>
  </r>
  <r>
    <d v="2026-03-22T00:00:00"/>
    <s v="20/03/2026"/>
    <x v="3"/>
    <x v="3"/>
    <x v="72"/>
    <x v="71"/>
    <x v="4"/>
    <x v="4"/>
    <s v="JAD"/>
    <x v="1"/>
    <x v="2"/>
    <n v="27462"/>
    <n v="28"/>
    <n v="4"/>
    <n v="268.98700000000002"/>
    <n v="23"/>
    <n v="25"/>
    <n v="2"/>
    <s v="A|B|C"/>
    <n v="1"/>
    <n v="2"/>
    <n v="0"/>
    <n v="0"/>
    <n v="0"/>
    <n v="3"/>
  </r>
  <r>
    <d v="2026-03-22T00:00:00"/>
    <s v="20/03/2026"/>
    <x v="3"/>
    <x v="3"/>
    <x v="73"/>
    <x v="72"/>
    <x v="4"/>
    <x v="4"/>
    <s v="JAD"/>
    <x v="0"/>
    <x v="2"/>
    <n v="27462"/>
    <n v="107"/>
    <n v="14"/>
    <n v="2380.2829999999999"/>
    <n v="141.6"/>
    <n v="20"/>
    <n v="7"/>
    <s v="A|B|C"/>
    <n v="6"/>
    <n v="7"/>
    <n v="2"/>
    <n v="0"/>
    <n v="0"/>
    <n v="15"/>
  </r>
  <r>
    <d v="2026-03-22T00:00:00"/>
    <s v="20/03/2026"/>
    <x v="3"/>
    <x v="3"/>
    <x v="74"/>
    <x v="73"/>
    <x v="4"/>
    <x v="4"/>
    <s v="JAD"/>
    <x v="5"/>
    <x v="2"/>
    <n v="27462"/>
    <n v="69"/>
    <n v="10"/>
    <n v="1578.0219999999999"/>
    <n v="74.900000000000006"/>
    <n v="30"/>
    <n v="5"/>
    <s v="A|B|C"/>
    <n v="5"/>
    <n v="5"/>
    <n v="0"/>
    <n v="0"/>
    <n v="0"/>
    <n v="10"/>
  </r>
  <r>
    <d v="2026-03-22T00:00:00"/>
    <s v="20/03/2026"/>
    <x v="3"/>
    <x v="3"/>
    <x v="75"/>
    <x v="74"/>
    <x v="4"/>
    <x v="4"/>
    <s v="JAD"/>
    <x v="5"/>
    <x v="2"/>
    <n v="27462"/>
    <n v="144"/>
    <n v="21"/>
    <n v="3800.3690000000001"/>
    <n v="242.6"/>
    <n v="10"/>
    <n v="11"/>
    <s v="A|B|C"/>
    <n v="8"/>
    <n v="7"/>
    <n v="4"/>
    <n v="0"/>
    <n v="0"/>
    <n v="19"/>
  </r>
  <r>
    <d v="2026-03-22T00:00:00"/>
    <s v="20/03/2026"/>
    <x v="3"/>
    <x v="3"/>
    <x v="76"/>
    <x v="75"/>
    <x v="4"/>
    <x v="4"/>
    <s v="JAD"/>
    <x v="5"/>
    <x v="2"/>
    <n v="27462"/>
    <n v="63"/>
    <n v="18"/>
    <n v="2220.4270000000001"/>
    <n v="164.2"/>
    <n v="20"/>
    <n v="9"/>
    <s v="A|B|C"/>
    <n v="5"/>
    <n v="7"/>
    <n v="2"/>
    <n v="0"/>
    <n v="0"/>
    <n v="14"/>
  </r>
  <r>
    <d v="2026-03-23T00:00:00"/>
    <s v="20/03/2026"/>
    <x v="3"/>
    <x v="3"/>
    <x v="77"/>
    <x v="76"/>
    <x v="4"/>
    <x v="4"/>
    <s v="JAD"/>
    <x v="5"/>
    <x v="2"/>
    <n v="27462"/>
    <n v="42"/>
    <n v="10"/>
    <n v="1189.5360000000001"/>
    <n v="76.900000000000006"/>
    <n v="20"/>
    <n v="5"/>
    <s v="A|B|C"/>
    <n v="3"/>
    <n v="5"/>
    <n v="0"/>
    <n v="0"/>
    <n v="0"/>
    <n v="8"/>
  </r>
  <r>
    <d v="2026-03-23T00:00:00"/>
    <s v="20/03/2026"/>
    <x v="3"/>
    <x v="3"/>
    <x v="78"/>
    <x v="77"/>
    <x v="4"/>
    <x v="4"/>
    <s v="JAD"/>
    <x v="5"/>
    <x v="2"/>
    <n v="27462"/>
    <n v="43"/>
    <n v="4"/>
    <n v="585.65599999999995"/>
    <n v="26.3"/>
    <n v="22"/>
    <n v="2"/>
    <s v="A|B|C"/>
    <n v="2"/>
    <n v="1"/>
    <n v="1"/>
    <n v="0"/>
    <n v="0"/>
    <n v="4"/>
  </r>
  <r>
    <d v="2026-03-23T00:00:00"/>
    <s v="20/03/2026"/>
    <x v="3"/>
    <x v="3"/>
    <x v="79"/>
    <x v="78"/>
    <x v="4"/>
    <x v="4"/>
    <s v="JAD"/>
    <x v="5"/>
    <x v="2"/>
    <n v="27462"/>
    <n v="66"/>
    <n v="13"/>
    <n v="3222.6880000000001"/>
    <n v="253.6"/>
    <n v="25"/>
    <n v="6"/>
    <s v="A|B|C"/>
    <n v="6"/>
    <n v="5"/>
    <n v="1"/>
    <n v="0"/>
    <n v="0"/>
    <n v="12"/>
  </r>
  <r>
    <d v="2026-03-23T00:00:00"/>
    <s v="20/03/2026"/>
    <x v="3"/>
    <x v="3"/>
    <x v="80"/>
    <x v="79"/>
    <x v="4"/>
    <x v="4"/>
    <s v="JAD"/>
    <x v="5"/>
    <x v="2"/>
    <n v="27462"/>
    <n v="33"/>
    <n v="8"/>
    <n v="1862.3779999999999"/>
    <n v="99.07"/>
    <n v="30"/>
    <n v="4"/>
    <s v="A|B|C"/>
    <n v="4"/>
    <n v="2"/>
    <n v="2"/>
    <n v="0"/>
    <n v="0"/>
    <n v="8"/>
  </r>
  <r>
    <d v="2026-03-23T00:00:00"/>
    <s v="20/03/2026"/>
    <x v="3"/>
    <x v="3"/>
    <x v="81"/>
    <x v="80"/>
    <x v="4"/>
    <x v="4"/>
    <s v="JAD"/>
    <x v="5"/>
    <x v="2"/>
    <n v="27462"/>
    <n v="67"/>
    <n v="8"/>
    <n v="1813.8869999999999"/>
    <n v="170.2"/>
    <n v="30"/>
    <n v="4"/>
    <s v="A|B|C"/>
    <n v="5"/>
    <n v="3"/>
    <n v="1"/>
    <n v="0"/>
    <n v="0"/>
    <n v="9"/>
  </r>
  <r>
    <d v="2026-03-24T00:00:00"/>
    <s v="20/03/2026"/>
    <x v="3"/>
    <x v="3"/>
    <x v="82"/>
    <x v="81"/>
    <x v="4"/>
    <x v="4"/>
    <s v="JAD"/>
    <x v="5"/>
    <x v="2"/>
    <n v="27462"/>
    <n v="30"/>
    <n v="2"/>
    <n v="329.79300000000001"/>
    <n v="15.2"/>
    <n v="30"/>
    <n v="1"/>
    <s v="A|B|C"/>
    <n v="1"/>
    <n v="1"/>
    <n v="0"/>
    <n v="0"/>
    <n v="0"/>
    <n v="2"/>
  </r>
  <r>
    <d v="2026-03-24T00:00:00"/>
    <s v="20/03/2026"/>
    <x v="3"/>
    <x v="0"/>
    <x v="85"/>
    <x v="84"/>
    <x v="4"/>
    <x v="4"/>
    <s v="JAD"/>
    <x v="0"/>
    <x v="2"/>
    <n v="27462"/>
    <n v="33"/>
    <n v="6"/>
    <n v="1003.4640000000001"/>
    <n v="57.09"/>
    <n v="30"/>
    <n v="3"/>
    <s v="A|B|C"/>
    <n v="3"/>
    <n v="3"/>
    <n v="0"/>
    <n v="0"/>
    <n v="0"/>
    <n v="6"/>
  </r>
  <r>
    <d v="2026-03-24T00:00:00"/>
    <s v="20/03/2026"/>
    <x v="3"/>
    <x v="0"/>
    <x v="86"/>
    <x v="85"/>
    <x v="4"/>
    <x v="4"/>
    <s v="JAD"/>
    <x v="0"/>
    <x v="2"/>
    <n v="27462"/>
    <n v="15"/>
    <n v="2"/>
    <n v="206.11500000000001"/>
    <n v="40.299999999999997"/>
    <n v="60"/>
    <n v="1"/>
    <s v="A|B|C"/>
    <n v="1"/>
    <n v="1"/>
    <n v="0"/>
    <n v="0"/>
    <n v="0"/>
    <n v="2"/>
  </r>
  <r>
    <d v="2026-03-24T00:00:00"/>
    <s v="20/03/2026"/>
    <x v="3"/>
    <x v="0"/>
    <x v="87"/>
    <x v="86"/>
    <x v="4"/>
    <x v="4"/>
    <s v="JAD"/>
    <x v="0"/>
    <x v="2"/>
    <n v="27462"/>
    <n v="15"/>
    <n v="2"/>
    <n v="264.04500000000002"/>
    <n v="28.3"/>
    <n v="60"/>
    <n v="1"/>
    <s v="A|B|C"/>
    <n v="1"/>
    <n v="0"/>
    <n v="1"/>
    <n v="0"/>
    <n v="0"/>
    <n v="2"/>
  </r>
  <r>
    <d v="2026-03-24T00:00:00"/>
    <s v="20/03/2026"/>
    <x v="3"/>
    <x v="0"/>
    <x v="88"/>
    <x v="87"/>
    <x v="4"/>
    <x v="4"/>
    <s v="JAD"/>
    <x v="0"/>
    <x v="2"/>
    <n v="27462"/>
    <n v="34"/>
    <n v="4"/>
    <n v="693.32799999999997"/>
    <n v="80.599999999999994"/>
    <n v="30"/>
    <n v="2"/>
    <s v="A|B|C"/>
    <n v="2"/>
    <n v="2"/>
    <n v="0"/>
    <n v="0"/>
    <n v="0"/>
    <n v="4"/>
  </r>
  <r>
    <d v="2026-03-25T00:00:00"/>
    <s v="20/03/2026"/>
    <x v="3"/>
    <x v="7"/>
    <x v="89"/>
    <x v="88"/>
    <x v="4"/>
    <x v="4"/>
    <s v="JAD"/>
    <x v="0"/>
    <x v="2"/>
    <n v="27462"/>
    <n v="39"/>
    <n v="2"/>
    <n v="134.35499999999999"/>
    <n v="38.200000000000003"/>
    <n v="20"/>
    <n v="1"/>
    <s v="A|B|C"/>
    <n v="1"/>
    <n v="0"/>
    <n v="1"/>
    <n v="0"/>
    <n v="0"/>
    <n v="2"/>
  </r>
  <r>
    <d v="2026-03-25T00:00:00"/>
    <s v="20/03/2026"/>
    <x v="3"/>
    <x v="7"/>
    <x v="90"/>
    <x v="89"/>
    <x v="4"/>
    <x v="4"/>
    <s v="JAD"/>
    <x v="0"/>
    <x v="2"/>
    <n v="27462"/>
    <n v="39"/>
    <n v="2"/>
    <n v="129.714"/>
    <n v="29.4"/>
    <n v="20"/>
    <n v="1"/>
    <s v="A|B|C"/>
    <n v="1"/>
    <n v="0"/>
    <n v="1"/>
    <n v="0"/>
    <n v="0"/>
    <n v="2"/>
  </r>
  <r>
    <d v="2026-03-25T00:00:00"/>
    <s v="20/03/2026"/>
    <x v="3"/>
    <x v="9"/>
    <x v="91"/>
    <x v="90"/>
    <x v="4"/>
    <x v="4"/>
    <s v="JAD"/>
    <x v="5"/>
    <x v="2"/>
    <n v="27462"/>
    <n v="38"/>
    <n v="28"/>
    <n v="2520.989"/>
    <n v="992"/>
    <n v="20"/>
    <n v="14"/>
    <s v="A|B|C"/>
    <n v="0"/>
    <n v="0"/>
    <n v="14"/>
    <n v="0"/>
    <n v="0"/>
    <n v="14"/>
  </r>
  <r>
    <d v="2026-03-25T00:00:00"/>
    <s v="20/03/2026"/>
    <x v="3"/>
    <x v="1"/>
    <x v="92"/>
    <x v="91"/>
    <x v="4"/>
    <x v="4"/>
    <s v="JAD"/>
    <x v="4"/>
    <x v="2"/>
    <n v="27462"/>
    <n v="76"/>
    <n v="24"/>
    <n v="4077.6060000000002"/>
    <n v="690.4"/>
    <n v="30"/>
    <n v="10"/>
    <s v="A|B|C"/>
    <n v="10"/>
    <n v="6"/>
    <n v="4"/>
    <n v="0"/>
    <n v="0"/>
    <n v="20"/>
  </r>
  <r>
    <d v="2026-03-25T00:00:00"/>
    <s v="20/03/2026"/>
    <x v="3"/>
    <x v="1"/>
    <x v="93"/>
    <x v="92"/>
    <x v="4"/>
    <x v="4"/>
    <s v="JAD"/>
    <x v="5"/>
    <x v="2"/>
    <n v="27462"/>
    <n v="26"/>
    <n v="6"/>
    <n v="1279.2"/>
    <n v="56.7"/>
    <n v="30"/>
    <n v="2"/>
    <s v="A|B|C"/>
    <n v="2"/>
    <n v="2"/>
    <n v="0"/>
    <n v="0"/>
    <n v="0"/>
    <n v="4"/>
  </r>
  <r>
    <d v="2026-03-26T00:00:00"/>
    <s v="20/03/2026"/>
    <x v="3"/>
    <x v="1"/>
    <x v="95"/>
    <x v="94"/>
    <x v="4"/>
    <x v="4"/>
    <s v="JAD"/>
    <x v="5"/>
    <x v="2"/>
    <n v="27462"/>
    <n v="14"/>
    <n v="4"/>
    <n v="940.83199999999999"/>
    <n v="34.4"/>
    <n v="30"/>
    <n v="2"/>
    <s v="A|B|C"/>
    <n v="1"/>
    <n v="2"/>
    <n v="0"/>
    <n v="0"/>
    <n v="0"/>
    <n v="3"/>
  </r>
  <r>
    <d v="2026-03-26T00:00:00"/>
    <s v="20/03/2026"/>
    <x v="3"/>
    <x v="0"/>
    <x v="0"/>
    <x v="0"/>
    <x v="4"/>
    <x v="4"/>
    <s v="JAD"/>
    <x v="0"/>
    <x v="3"/>
    <n v="27463"/>
    <n v="36"/>
    <n v="10"/>
    <n v="1349.386"/>
    <n v="24.5"/>
    <n v="25"/>
    <n v="5"/>
    <s v="A|B|C"/>
    <n v="4"/>
    <n v="5"/>
    <n v="0"/>
    <n v="0"/>
    <n v="0"/>
    <n v="9"/>
  </r>
  <r>
    <d v="2026-03-26T00:00:00"/>
    <s v="20/03/2026"/>
    <x v="3"/>
    <x v="0"/>
    <x v="57"/>
    <x v="56"/>
    <x v="4"/>
    <x v="4"/>
    <s v="JAD"/>
    <x v="5"/>
    <x v="3"/>
    <n v="27463"/>
    <n v="14"/>
    <n v="2"/>
    <n v="420.483"/>
    <n v="49.1"/>
    <n v="115"/>
    <n v="1"/>
    <s v="A|B|C"/>
    <n v="1"/>
    <n v="1"/>
    <n v="0"/>
    <n v="0"/>
    <n v="0"/>
    <n v="2"/>
  </r>
  <r>
    <d v="2026-03-26T00:00:00"/>
    <s v="20/03/2026"/>
    <x v="3"/>
    <x v="0"/>
    <x v="58"/>
    <x v="57"/>
    <x v="4"/>
    <x v="4"/>
    <s v="JAD"/>
    <x v="0"/>
    <x v="3"/>
    <n v="27463"/>
    <n v="7"/>
    <n v="4"/>
    <n v="248.32"/>
    <n v="78.099999999999994"/>
    <n v="45"/>
    <n v="1"/>
    <s v="A|B|C"/>
    <n v="1"/>
    <n v="1"/>
    <n v="0"/>
    <n v="0"/>
    <n v="0"/>
    <n v="2"/>
  </r>
  <r>
    <d v="2026-03-26T00:00:00"/>
    <s v="20/03/2026"/>
    <x v="3"/>
    <x v="0"/>
    <x v="59"/>
    <x v="58"/>
    <x v="4"/>
    <x v="4"/>
    <s v="JAD"/>
    <x v="5"/>
    <x v="3"/>
    <n v="27463"/>
    <n v="26"/>
    <n v="10"/>
    <n v="579.95299999999997"/>
    <n v="116"/>
    <n v="20"/>
    <n v="4"/>
    <s v="A|B|C"/>
    <n v="2"/>
    <n v="4"/>
    <n v="0"/>
    <n v="0"/>
    <n v="0"/>
    <n v="6"/>
  </r>
  <r>
    <d v="2026-03-20T00:00:00"/>
    <s v="20/03/2026"/>
    <x v="3"/>
    <x v="0"/>
    <x v="22"/>
    <x v="21"/>
    <x v="4"/>
    <x v="4"/>
    <s v="JAD"/>
    <x v="0"/>
    <x v="3"/>
    <n v="27463"/>
    <n v="30"/>
    <n v="8"/>
    <n v="927.22400000000005"/>
    <n v="194.2"/>
    <n v="30"/>
    <n v="4"/>
    <s v="A|B|C"/>
    <n v="4"/>
    <n v="4"/>
    <n v="0"/>
    <n v="0"/>
    <n v="0"/>
    <n v="8"/>
  </r>
  <r>
    <d v="2026-03-20T00:00:00"/>
    <s v="20/03/2026"/>
    <x v="3"/>
    <x v="0"/>
    <x v="60"/>
    <x v="59"/>
    <x v="4"/>
    <x v="4"/>
    <s v="JAD"/>
    <x v="1"/>
    <x v="3"/>
    <n v="27463"/>
    <n v="36"/>
    <n v="12"/>
    <n v="1092.1289999999999"/>
    <n v="191.6"/>
    <n v="40"/>
    <n v="4"/>
    <s v="A|B|C"/>
    <n v="4"/>
    <n v="2"/>
    <n v="1"/>
    <n v="0"/>
    <n v="0"/>
    <n v="7"/>
  </r>
  <r>
    <d v="2026-03-20T00:00:00"/>
    <s v="20/03/2026"/>
    <x v="3"/>
    <x v="0"/>
    <x v="61"/>
    <x v="60"/>
    <x v="4"/>
    <x v="4"/>
    <s v="JAD"/>
    <x v="5"/>
    <x v="3"/>
    <n v="27463"/>
    <n v="16"/>
    <n v="4"/>
    <n v="802.66200000000003"/>
    <n v="34.4"/>
    <n v="30"/>
    <n v="2"/>
    <s v="A|B|C"/>
    <n v="2"/>
    <n v="1"/>
    <n v="1"/>
    <n v="0"/>
    <n v="0"/>
    <n v="4"/>
  </r>
  <r>
    <d v="2026-03-20T00:00:00"/>
    <s v="20/03/2026"/>
    <x v="3"/>
    <x v="0"/>
    <x v="62"/>
    <x v="61"/>
    <x v="4"/>
    <x v="4"/>
    <s v="JAD"/>
    <x v="1"/>
    <x v="3"/>
    <n v="27463"/>
    <n v="74"/>
    <n v="8"/>
    <n v="643.20799999999997"/>
    <n v="146.75"/>
    <n v="20"/>
    <n v="4"/>
    <s v="A|B|C"/>
    <n v="5"/>
    <n v="2"/>
    <n v="1"/>
    <n v="0"/>
    <n v="0"/>
    <n v="8"/>
  </r>
  <r>
    <d v="2026-03-20T00:00:00"/>
    <s v="20/03/2026"/>
    <x v="3"/>
    <x v="7"/>
    <x v="63"/>
    <x v="62"/>
    <x v="4"/>
    <x v="4"/>
    <s v="JAD"/>
    <x v="4"/>
    <x v="3"/>
    <n v="27463"/>
    <n v="9"/>
    <n v="10"/>
    <n v="386.43900000000002"/>
    <n v="58.48"/>
    <n v="120"/>
    <n v="1"/>
    <s v="A|B|C"/>
    <n v="1"/>
    <n v="1"/>
    <n v="0"/>
    <n v="0"/>
    <n v="0"/>
    <n v="2"/>
  </r>
  <r>
    <d v="2026-03-20T00:00:00"/>
    <s v="20/03/2026"/>
    <x v="3"/>
    <x v="7"/>
    <x v="64"/>
    <x v="63"/>
    <x v="4"/>
    <x v="4"/>
    <s v="JAD"/>
    <x v="0"/>
    <x v="3"/>
    <n v="27463"/>
    <n v="26"/>
    <n v="2"/>
    <n v="657.56899999999996"/>
    <n v="0.2"/>
    <n v="75"/>
    <n v="1"/>
    <s v="A|B|C"/>
    <n v="1"/>
    <n v="1"/>
    <n v="0"/>
    <n v="0"/>
    <n v="0"/>
    <n v="2"/>
  </r>
  <r>
    <d v="2026-03-21T00:00:00"/>
    <s v="20/03/2026"/>
    <x v="3"/>
    <x v="7"/>
    <x v="65"/>
    <x v="64"/>
    <x v="4"/>
    <x v="4"/>
    <s v="JAD"/>
    <x v="5"/>
    <x v="3"/>
    <n v="27463"/>
    <n v="13"/>
    <n v="2"/>
    <n v="526.90300000000002"/>
    <n v="21.7"/>
    <n v="90"/>
    <n v="1"/>
    <s v="A|B|C"/>
    <n v="1"/>
    <n v="1"/>
    <n v="1"/>
    <n v="0"/>
    <n v="0"/>
    <n v="3"/>
  </r>
  <r>
    <d v="2026-03-21T00:00:00"/>
    <s v="20/03/2026"/>
    <x v="3"/>
    <x v="8"/>
    <x v="66"/>
    <x v="65"/>
    <x v="4"/>
    <x v="4"/>
    <s v="JAD"/>
    <x v="4"/>
    <x v="3"/>
    <n v="27463"/>
    <n v="109"/>
    <n v="26"/>
    <n v="12749.794"/>
    <n v="772.6"/>
    <n v="20"/>
    <n v="13"/>
    <s v="A|B|C"/>
    <n v="16"/>
    <n v="9"/>
    <n v="6"/>
    <n v="0"/>
    <n v="0"/>
    <n v="31"/>
  </r>
  <r>
    <d v="2026-03-21T00:00:00"/>
    <s v="20/03/2026"/>
    <x v="3"/>
    <x v="3"/>
    <x v="67"/>
    <x v="66"/>
    <x v="4"/>
    <x v="4"/>
    <s v="JAD"/>
    <x v="5"/>
    <x v="3"/>
    <n v="27463"/>
    <n v="33"/>
    <n v="10"/>
    <n v="731.21799999999996"/>
    <n v="168.2"/>
    <n v="30"/>
    <n v="4"/>
    <s v="A|B|C"/>
    <n v="4"/>
    <n v="2"/>
    <n v="2"/>
    <n v="0"/>
    <n v="0"/>
    <n v="8"/>
  </r>
  <r>
    <d v="2026-03-21T00:00:00"/>
    <s v="20/03/2026"/>
    <x v="3"/>
    <x v="3"/>
    <x v="68"/>
    <x v="67"/>
    <x v="4"/>
    <x v="4"/>
    <s v="JAD"/>
    <x v="5"/>
    <x v="3"/>
    <n v="27463"/>
    <n v="63"/>
    <n v="12"/>
    <n v="1392.6489999999999"/>
    <n v="140.1"/>
    <n v="20"/>
    <n v="5"/>
    <s v="A|B|C"/>
    <n v="6"/>
    <n v="3"/>
    <n v="2"/>
    <n v="0"/>
    <n v="0"/>
    <n v="11"/>
  </r>
  <r>
    <d v="2026-03-21T00:00:00"/>
    <s v="20/03/2026"/>
    <x v="3"/>
    <x v="3"/>
    <x v="69"/>
    <x v="68"/>
    <x v="4"/>
    <x v="4"/>
    <s v="JAD"/>
    <x v="5"/>
    <x v="3"/>
    <n v="27463"/>
    <n v="45"/>
    <n v="12"/>
    <n v="1340.01"/>
    <n v="63"/>
    <n v="20"/>
    <n v="5"/>
    <s v="A|B|C"/>
    <n v="4"/>
    <n v="4"/>
    <n v="1"/>
    <n v="0"/>
    <n v="0"/>
    <n v="9"/>
  </r>
  <r>
    <d v="2026-03-21T00:00:00"/>
    <s v="20/03/2026"/>
    <x v="3"/>
    <x v="3"/>
    <x v="70"/>
    <x v="69"/>
    <x v="4"/>
    <x v="4"/>
    <s v="JAD"/>
    <x v="0"/>
    <x v="3"/>
    <n v="27463"/>
    <n v="59"/>
    <n v="8"/>
    <n v="765.13900000000001"/>
    <n v="28.6"/>
    <n v="17"/>
    <n v="3"/>
    <s v="A|B|C"/>
    <n v="3"/>
    <n v="3"/>
    <n v="0"/>
    <n v="0"/>
    <n v="0"/>
    <n v="6"/>
  </r>
  <r>
    <d v="2026-03-22T00:00:00"/>
    <s v="20/03/2026"/>
    <x v="3"/>
    <x v="3"/>
    <x v="71"/>
    <x v="70"/>
    <x v="4"/>
    <x v="4"/>
    <s v="JAD"/>
    <x v="0"/>
    <x v="3"/>
    <n v="27463"/>
    <n v="37"/>
    <n v="6"/>
    <n v="788.99199999999996"/>
    <n v="40.25"/>
    <n v="25"/>
    <n v="3"/>
    <s v="A|B|C"/>
    <n v="3"/>
    <n v="2"/>
    <n v="1"/>
    <n v="0"/>
    <n v="0"/>
    <n v="6"/>
  </r>
  <r>
    <d v="2026-03-22T00:00:00"/>
    <s v="20/03/2026"/>
    <x v="3"/>
    <x v="3"/>
    <x v="72"/>
    <x v="71"/>
    <x v="4"/>
    <x v="4"/>
    <s v="JAD"/>
    <x v="1"/>
    <x v="3"/>
    <n v="27463"/>
    <n v="35"/>
    <n v="7"/>
    <n v="334.21100000000001"/>
    <n v="34.6"/>
    <n v="25"/>
    <n v="2"/>
    <s v="A|B|C"/>
    <n v="2"/>
    <n v="2"/>
    <n v="0"/>
    <n v="0"/>
    <n v="0"/>
    <n v="4"/>
  </r>
  <r>
    <d v="2026-03-22T00:00:00"/>
    <s v="20/03/2026"/>
    <x v="3"/>
    <x v="3"/>
    <x v="73"/>
    <x v="72"/>
    <x v="4"/>
    <x v="4"/>
    <s v="JAD"/>
    <x v="0"/>
    <x v="3"/>
    <n v="27463"/>
    <n v="106"/>
    <n v="26"/>
    <n v="2357.9699999999998"/>
    <n v="262.3"/>
    <n v="15"/>
    <n v="9"/>
    <s v="A|B|C"/>
    <n v="10"/>
    <n v="8"/>
    <n v="2"/>
    <n v="0"/>
    <n v="0"/>
    <n v="20"/>
  </r>
  <r>
    <d v="2026-03-22T00:00:00"/>
    <s v="20/03/2026"/>
    <x v="3"/>
    <x v="3"/>
    <x v="74"/>
    <x v="73"/>
    <x v="4"/>
    <x v="4"/>
    <s v="JAD"/>
    <x v="5"/>
    <x v="3"/>
    <n v="27463"/>
    <n v="87"/>
    <n v="22"/>
    <n v="2003.712"/>
    <n v="162.5"/>
    <n v="20"/>
    <n v="8"/>
    <s v="A|B|C"/>
    <n v="8"/>
    <n v="5"/>
    <n v="3"/>
    <n v="0"/>
    <n v="0"/>
    <n v="16"/>
  </r>
  <r>
    <d v="2026-03-22T00:00:00"/>
    <s v="20/03/2026"/>
    <x v="3"/>
    <x v="3"/>
    <x v="75"/>
    <x v="74"/>
    <x v="4"/>
    <x v="4"/>
    <s v="JAD"/>
    <x v="5"/>
    <x v="3"/>
    <n v="27463"/>
    <n v="93"/>
    <n v="10"/>
    <n v="2454.4899999999998"/>
    <n v="117.1"/>
    <n v="20"/>
    <n v="5"/>
    <s v="A|B|C"/>
    <n v="9"/>
    <n v="3"/>
    <n v="5"/>
    <n v="0"/>
    <n v="0"/>
    <n v="17"/>
  </r>
  <r>
    <d v="2026-03-22T00:00:00"/>
    <s v="20/03/2026"/>
    <x v="3"/>
    <x v="3"/>
    <x v="76"/>
    <x v="75"/>
    <x v="4"/>
    <x v="4"/>
    <s v="JAD"/>
    <x v="5"/>
    <x v="3"/>
    <n v="27463"/>
    <n v="73"/>
    <n v="18"/>
    <n v="2575.5120000000002"/>
    <n v="166.38"/>
    <n v="15"/>
    <n v="8"/>
    <s v="A|B|C"/>
    <n v="8"/>
    <n v="5"/>
    <n v="3"/>
    <n v="0"/>
    <n v="0"/>
    <n v="16"/>
  </r>
  <r>
    <d v="2026-03-20T00:00:00"/>
    <s v="20/03/2026"/>
    <x v="3"/>
    <x v="3"/>
    <x v="77"/>
    <x v="76"/>
    <x v="4"/>
    <x v="4"/>
    <s v="JAD"/>
    <x v="5"/>
    <x v="3"/>
    <n v="27463"/>
    <n v="46"/>
    <n v="14"/>
    <n v="1307.26"/>
    <n v="100.9"/>
    <n v="20"/>
    <n v="5"/>
    <s v="A|B|C"/>
    <n v="6"/>
    <n v="3"/>
    <n v="2"/>
    <n v="0"/>
    <n v="0"/>
    <n v="11"/>
  </r>
  <r>
    <d v="2026-03-20T00:00:00"/>
    <s v="20/03/2026"/>
    <x v="3"/>
    <x v="3"/>
    <x v="78"/>
    <x v="77"/>
    <x v="4"/>
    <x v="4"/>
    <s v="JAD"/>
    <x v="5"/>
    <x v="3"/>
    <n v="27463"/>
    <n v="38"/>
    <n v="4"/>
    <n v="517.23099999999999"/>
    <n v="26.3"/>
    <n v="30"/>
    <n v="2"/>
    <s v="A|B|C"/>
    <n v="3"/>
    <n v="1"/>
    <n v="1"/>
    <n v="0"/>
    <n v="0"/>
    <n v="5"/>
  </r>
  <r>
    <d v="2026-03-20T00:00:00"/>
    <s v="20/03/2026"/>
    <x v="3"/>
    <x v="3"/>
    <x v="79"/>
    <x v="78"/>
    <x v="4"/>
    <x v="4"/>
    <s v="JAD"/>
    <x v="5"/>
    <x v="3"/>
    <n v="27463"/>
    <n v="49"/>
    <n v="20"/>
    <n v="2393.8589999999999"/>
    <n v="380.8"/>
    <n v="30"/>
    <n v="8"/>
    <s v="A|B|C"/>
    <n v="6"/>
    <n v="3"/>
    <n v="2"/>
    <n v="0"/>
    <n v="0"/>
    <n v="11"/>
  </r>
  <r>
    <d v="2026-03-20T00:00:00"/>
    <s v="20/03/2026"/>
    <x v="3"/>
    <x v="3"/>
    <x v="80"/>
    <x v="79"/>
    <x v="4"/>
    <x v="4"/>
    <s v="JAD"/>
    <x v="5"/>
    <x v="3"/>
    <n v="27463"/>
    <n v="41"/>
    <n v="10"/>
    <n v="2317.5619999999999"/>
    <n v="123.8"/>
    <n v="25"/>
    <n v="5"/>
    <s v="A|B|C"/>
    <n v="6"/>
    <n v="2"/>
    <n v="4"/>
    <n v="0"/>
    <n v="0"/>
    <n v="12"/>
  </r>
  <r>
    <d v="2026-03-20T00:00:00"/>
    <s v="20/03/2026"/>
    <x v="3"/>
    <x v="3"/>
    <x v="81"/>
    <x v="80"/>
    <x v="4"/>
    <x v="4"/>
    <s v="JAD"/>
    <x v="5"/>
    <x v="3"/>
    <n v="27463"/>
    <n v="85"/>
    <n v="16"/>
    <n v="2301.174"/>
    <n v="386.6"/>
    <n v="20"/>
    <n v="6"/>
    <s v="A|B|C"/>
    <n v="7"/>
    <n v="5"/>
    <n v="1"/>
    <n v="0"/>
    <n v="0"/>
    <n v="13"/>
  </r>
  <r>
    <d v="2026-03-20T00:00:00"/>
    <s v="20/03/2026"/>
    <x v="3"/>
    <x v="3"/>
    <x v="82"/>
    <x v="81"/>
    <x v="4"/>
    <x v="4"/>
    <s v="JAD"/>
    <x v="5"/>
    <x v="3"/>
    <n v="27463"/>
    <n v="26"/>
    <n v="2"/>
    <n v="285.82100000000003"/>
    <n v="15.2"/>
    <n v="35"/>
    <n v="1"/>
    <s v="A|B|C"/>
    <n v="1"/>
    <n v="1"/>
    <n v="0"/>
    <n v="0"/>
    <n v="0"/>
    <n v="2"/>
  </r>
  <r>
    <d v="2026-03-20T00:00:00"/>
    <s v="20/03/2026"/>
    <x v="3"/>
    <x v="3"/>
    <x v="83"/>
    <x v="82"/>
    <x v="4"/>
    <x v="4"/>
    <s v="JAD"/>
    <x v="1"/>
    <x v="3"/>
    <n v="27463"/>
    <n v="38"/>
    <n v="2"/>
    <n v="155.68600000000001"/>
    <n v="37.5"/>
    <n v="30"/>
    <n v="1"/>
    <s v="A|B|C"/>
    <n v="2"/>
    <n v="0"/>
    <n v="1"/>
    <n v="0"/>
    <n v="0"/>
    <n v="3"/>
  </r>
  <r>
    <d v="2026-03-20T00:00:00"/>
    <s v="20/03/2026"/>
    <x v="3"/>
    <x v="3"/>
    <x v="84"/>
    <x v="83"/>
    <x v="4"/>
    <x v="4"/>
    <s v="JAD"/>
    <x v="1"/>
    <x v="3"/>
    <n v="27463"/>
    <n v="38"/>
    <n v="2"/>
    <n v="116.736"/>
    <n v="37.9"/>
    <n v="30"/>
    <n v="1"/>
    <s v="A|B|C"/>
    <n v="1"/>
    <n v="1"/>
    <n v="1"/>
    <n v="0"/>
    <n v="0"/>
    <n v="3"/>
  </r>
  <r>
    <d v="2026-03-20T00:00:00"/>
    <s v="20/03/2026"/>
    <x v="3"/>
    <x v="0"/>
    <x v="85"/>
    <x v="84"/>
    <x v="4"/>
    <x v="4"/>
    <s v="JAD"/>
    <x v="0"/>
    <x v="3"/>
    <n v="27463"/>
    <n v="35"/>
    <n v="8"/>
    <n v="1064.28"/>
    <n v="76.09"/>
    <n v="30"/>
    <n v="4"/>
    <s v="A|B|C"/>
    <n v="4"/>
    <n v="4"/>
    <n v="1"/>
    <n v="0"/>
    <n v="0"/>
    <n v="9"/>
  </r>
  <r>
    <d v="2026-03-20T00:00:00"/>
    <s v="20/03/2026"/>
    <x v="3"/>
    <x v="0"/>
    <x v="86"/>
    <x v="85"/>
    <x v="4"/>
    <x v="4"/>
    <s v="JAD"/>
    <x v="0"/>
    <x v="3"/>
    <n v="27463"/>
    <n v="17"/>
    <n v="2"/>
    <n v="233.59700000000001"/>
    <n v="40.299999999999997"/>
    <n v="60"/>
    <n v="1"/>
    <s v="A|B|C"/>
    <n v="1"/>
    <n v="1"/>
    <n v="0"/>
    <n v="0"/>
    <n v="0"/>
    <n v="2"/>
  </r>
  <r>
    <d v="2026-03-20T00:00:00"/>
    <s v="20/03/2026"/>
    <x v="3"/>
    <x v="0"/>
    <x v="87"/>
    <x v="86"/>
    <x v="4"/>
    <x v="4"/>
    <s v="JAD"/>
    <x v="0"/>
    <x v="3"/>
    <n v="27463"/>
    <n v="23"/>
    <n v="6"/>
    <n v="404.86900000000003"/>
    <n v="84.9"/>
    <n v="35"/>
    <n v="2"/>
    <s v="A|B|C"/>
    <n v="2"/>
    <n v="2"/>
    <n v="0"/>
    <n v="0"/>
    <n v="0"/>
    <n v="4"/>
  </r>
  <r>
    <d v="2026-03-20T00:00:00"/>
    <s v="20/03/2026"/>
    <x v="3"/>
    <x v="0"/>
    <x v="88"/>
    <x v="87"/>
    <x v="4"/>
    <x v="4"/>
    <s v="JAD"/>
    <x v="0"/>
    <x v="3"/>
    <n v="27463"/>
    <n v="42"/>
    <n v="6"/>
    <n v="856.46400000000006"/>
    <n v="120.9"/>
    <n v="20"/>
    <n v="3"/>
    <s v="A|B|C"/>
    <n v="3"/>
    <n v="3"/>
    <n v="0"/>
    <n v="0"/>
    <n v="0"/>
    <n v="6"/>
  </r>
  <r>
    <d v="2026-03-20T00:00:00"/>
    <s v="20/03/2026"/>
    <x v="3"/>
    <x v="7"/>
    <x v="89"/>
    <x v="88"/>
    <x v="4"/>
    <x v="4"/>
    <s v="JAD"/>
    <x v="0"/>
    <x v="3"/>
    <n v="27463"/>
    <n v="39"/>
    <n v="2"/>
    <n v="134.35499999999999"/>
    <n v="38.200000000000003"/>
    <n v="20"/>
    <n v="1"/>
    <s v="A|B|C"/>
    <n v="1"/>
    <n v="1"/>
    <n v="0"/>
    <n v="0"/>
    <n v="0"/>
    <n v="2"/>
  </r>
  <r>
    <d v="2026-03-20T00:00:00"/>
    <s v="20/03/2026"/>
    <x v="3"/>
    <x v="7"/>
    <x v="90"/>
    <x v="89"/>
    <x v="4"/>
    <x v="4"/>
    <s v="JAD"/>
    <x v="0"/>
    <x v="3"/>
    <n v="27463"/>
    <n v="39"/>
    <n v="2"/>
    <n v="129.714"/>
    <n v="29.4"/>
    <n v="20"/>
    <n v="1"/>
    <s v="A|B|C"/>
    <n v="1"/>
    <n v="1"/>
    <n v="0"/>
    <n v="0"/>
    <n v="0"/>
    <n v="2"/>
  </r>
  <r>
    <d v="2026-03-20T00:00:00"/>
    <s v="20/03/2026"/>
    <x v="3"/>
    <x v="9"/>
    <x v="91"/>
    <x v="90"/>
    <x v="4"/>
    <x v="4"/>
    <s v="JAD"/>
    <x v="5"/>
    <x v="3"/>
    <n v="27463"/>
    <n v="37"/>
    <n v="30"/>
    <n v="2454.4740000000002"/>
    <n v="1031.5999999999999"/>
    <n v="20"/>
    <n v="15"/>
    <s v="A|B|C"/>
    <n v="0"/>
    <n v="0"/>
    <n v="15"/>
    <n v="0"/>
    <n v="0"/>
    <n v="15"/>
  </r>
  <r>
    <d v="2026-03-20T00:00:00"/>
    <s v="20/03/2026"/>
    <x v="3"/>
    <x v="1"/>
    <x v="92"/>
    <x v="91"/>
    <x v="4"/>
    <x v="4"/>
    <s v="JAD"/>
    <x v="4"/>
    <x v="3"/>
    <n v="27463"/>
    <n v="79"/>
    <n v="24"/>
    <n v="4234.62"/>
    <n v="760.9"/>
    <n v="20"/>
    <n v="10"/>
    <s v="A|B|C"/>
    <n v="11"/>
    <n v="7"/>
    <n v="3"/>
    <n v="0"/>
    <n v="0"/>
    <n v="21"/>
  </r>
  <r>
    <d v="2026-03-20T00:00:00"/>
    <s v="20/03/2026"/>
    <x v="3"/>
    <x v="1"/>
    <x v="93"/>
    <x v="92"/>
    <x v="4"/>
    <x v="4"/>
    <s v="JAD"/>
    <x v="5"/>
    <x v="3"/>
    <n v="27463"/>
    <n v="61"/>
    <n v="10"/>
    <n v="2988.6660000000002"/>
    <n v="174.3"/>
    <n v="30"/>
    <n v="5"/>
    <s v="A|B|C"/>
    <n v="6"/>
    <n v="4"/>
    <n v="2"/>
    <n v="0"/>
    <n v="0"/>
    <n v="12"/>
  </r>
  <r>
    <d v="2026-03-20T00:00:00"/>
    <s v="20/03/2026"/>
    <x v="4"/>
    <x v="0"/>
    <x v="96"/>
    <x v="95"/>
    <x v="5"/>
    <x v="5"/>
    <s v="AKD"/>
    <x v="5"/>
    <x v="0"/>
    <n v="27457"/>
    <n v="65"/>
    <n v="8"/>
    <n v="517.39800000000002"/>
    <n v="15.5"/>
    <n v="20"/>
    <n v="4"/>
    <s v="A|B|C"/>
    <n v="4"/>
    <n v="4"/>
    <n v="0"/>
    <n v="0"/>
    <n v="0"/>
    <n v="8"/>
  </r>
  <r>
    <d v="2026-03-20T00:00:00"/>
    <s v="20/03/2026"/>
    <x v="4"/>
    <x v="0"/>
    <x v="97"/>
    <x v="96"/>
    <x v="5"/>
    <x v="5"/>
    <s v="AKD"/>
    <x v="5"/>
    <x v="0"/>
    <n v="27457"/>
    <n v="26"/>
    <n v="4"/>
    <n v="659.62800000000004"/>
    <n v="0.4"/>
    <n v="25"/>
    <n v="2"/>
    <s v="A|B|C"/>
    <n v="2"/>
    <n v="2"/>
    <n v="0"/>
    <n v="0"/>
    <n v="0"/>
    <n v="4"/>
  </r>
  <r>
    <d v="2026-03-20T00:00:00"/>
    <s v="20/03/2026"/>
    <x v="4"/>
    <x v="0"/>
    <x v="98"/>
    <x v="2"/>
    <x v="5"/>
    <x v="5"/>
    <s v="AKD"/>
    <x v="0"/>
    <x v="0"/>
    <n v="27457"/>
    <n v="96"/>
    <n v="44"/>
    <n v="2242.7440000000001"/>
    <n v="719.524"/>
    <n v="15"/>
    <n v="15"/>
    <s v="A|B|C"/>
    <n v="15"/>
    <n v="10"/>
    <n v="5"/>
    <n v="0"/>
    <n v="0"/>
    <n v="30"/>
  </r>
  <r>
    <d v="2026-03-20T00:00:00"/>
    <s v="20/03/2026"/>
    <x v="4"/>
    <x v="1"/>
    <x v="2"/>
    <x v="2"/>
    <x v="5"/>
    <x v="5"/>
    <s v="AKD"/>
    <x v="0"/>
    <x v="0"/>
    <n v="27457"/>
    <n v="78"/>
    <n v="21"/>
    <n v="1729.798"/>
    <n v="385.3"/>
    <n v="20"/>
    <n v="9"/>
    <s v="A|B|C"/>
    <n v="8"/>
    <n v="8"/>
    <n v="2"/>
    <n v="0"/>
    <n v="0"/>
    <n v="18"/>
  </r>
  <r>
    <d v="2026-03-20T00:00:00"/>
    <s v="20/03/2026"/>
    <x v="4"/>
    <x v="0"/>
    <x v="5"/>
    <x v="4"/>
    <x v="5"/>
    <x v="5"/>
    <s v="AKD"/>
    <x v="1"/>
    <x v="0"/>
    <n v="27457"/>
    <n v="8"/>
    <n v="2"/>
    <n v="196.50800000000001"/>
    <n v="2.9"/>
    <n v="105"/>
    <n v="1"/>
    <s v="A|B|C"/>
    <n v="1"/>
    <n v="1"/>
    <n v="0"/>
    <n v="0"/>
    <n v="0"/>
    <n v="2"/>
  </r>
  <r>
    <d v="2026-03-20T00:00:00"/>
    <s v="20/03/2026"/>
    <x v="4"/>
    <x v="0"/>
    <x v="8"/>
    <x v="7"/>
    <x v="5"/>
    <x v="5"/>
    <s v="AKD"/>
    <x v="0"/>
    <x v="0"/>
    <n v="27457"/>
    <n v="42"/>
    <n v="10"/>
    <n v="618.947"/>
    <n v="170.3"/>
    <n v="20"/>
    <n v="4"/>
    <s v="A|B|C"/>
    <n v="4"/>
    <n v="2"/>
    <n v="1"/>
    <n v="0"/>
    <n v="0"/>
    <n v="7"/>
  </r>
  <r>
    <d v="2026-03-20T00:00:00"/>
    <s v="20/03/2026"/>
    <x v="4"/>
    <x v="0"/>
    <x v="99"/>
    <x v="97"/>
    <x v="5"/>
    <x v="5"/>
    <s v="AKD"/>
    <x v="5"/>
    <x v="0"/>
    <n v="27457"/>
    <n v="60"/>
    <n v="10"/>
    <n v="1199.7"/>
    <n v="1"/>
    <n v="30"/>
    <n v="5"/>
    <s v="A|B|C"/>
    <n v="5"/>
    <n v="5"/>
    <n v="0"/>
    <n v="0"/>
    <n v="0"/>
    <n v="10"/>
  </r>
  <r>
    <d v="2026-03-20T00:00:00"/>
    <s v="20/03/2026"/>
    <x v="4"/>
    <x v="0"/>
    <x v="100"/>
    <x v="98"/>
    <x v="5"/>
    <x v="5"/>
    <s v="AKD"/>
    <x v="0"/>
    <x v="0"/>
    <n v="27457"/>
    <n v="30"/>
    <n v="6"/>
    <n v="922.86099999999999"/>
    <n v="83.8"/>
    <n v="20"/>
    <n v="3"/>
    <s v="A|B|C"/>
    <n v="3"/>
    <n v="2"/>
    <n v="1"/>
    <n v="0"/>
    <n v="0"/>
    <n v="6"/>
  </r>
  <r>
    <d v="2026-03-20T00:00:00"/>
    <s v="20/03/2026"/>
    <x v="4"/>
    <x v="0"/>
    <x v="101"/>
    <x v="99"/>
    <x v="5"/>
    <x v="5"/>
    <s v="AKD"/>
    <x v="0"/>
    <x v="0"/>
    <n v="27457"/>
    <n v="50"/>
    <n v="10"/>
    <n v="1401.134"/>
    <n v="138.6"/>
    <n v="25"/>
    <n v="5"/>
    <s v="A|B|C"/>
    <n v="5"/>
    <n v="5"/>
    <n v="0"/>
    <n v="0"/>
    <n v="0"/>
    <n v="10"/>
  </r>
  <r>
    <d v="2026-03-20T00:00:00"/>
    <s v="20/03/2026"/>
    <x v="4"/>
    <x v="0"/>
    <x v="102"/>
    <x v="100"/>
    <x v="5"/>
    <x v="5"/>
    <s v="AKD"/>
    <x v="0"/>
    <x v="0"/>
    <n v="27457"/>
    <n v="51"/>
    <n v="10"/>
    <n v="1198.182"/>
    <n v="81.599999999999994"/>
    <n v="30"/>
    <n v="5"/>
    <s v="A|B|C"/>
    <n v="4"/>
    <n v="4"/>
    <n v="1"/>
    <n v="0"/>
    <n v="0"/>
    <n v="9"/>
  </r>
  <r>
    <d v="2026-03-20T00:00:00"/>
    <s v="20/03/2026"/>
    <x v="4"/>
    <x v="0"/>
    <x v="15"/>
    <x v="14"/>
    <x v="5"/>
    <x v="5"/>
    <s v="AKD"/>
    <x v="0"/>
    <x v="0"/>
    <n v="27457"/>
    <n v="57"/>
    <n v="12"/>
    <n v="942.15300000000002"/>
    <n v="180"/>
    <n v="22"/>
    <n v="6"/>
    <s v="A|B|C"/>
    <n v="6"/>
    <n v="6"/>
    <n v="0"/>
    <n v="0"/>
    <n v="0"/>
    <n v="12"/>
  </r>
  <r>
    <d v="2026-03-20T00:00:00"/>
    <s v="20/03/2026"/>
    <x v="4"/>
    <x v="0"/>
    <x v="18"/>
    <x v="17"/>
    <x v="5"/>
    <x v="5"/>
    <s v="AKD"/>
    <x v="0"/>
    <x v="0"/>
    <n v="27457"/>
    <n v="38"/>
    <n v="8"/>
    <n v="1256.0329999999999"/>
    <n v="0.8"/>
    <n v="20"/>
    <n v="4"/>
    <s v="A|B|C"/>
    <n v="4"/>
    <n v="4"/>
    <n v="3"/>
    <n v="0"/>
    <n v="0"/>
    <n v="11"/>
  </r>
  <r>
    <d v="2026-03-20T00:00:00"/>
    <s v="20/03/2026"/>
    <x v="4"/>
    <x v="0"/>
    <x v="20"/>
    <x v="19"/>
    <x v="5"/>
    <x v="5"/>
    <s v="AKD"/>
    <x v="3"/>
    <x v="0"/>
    <n v="27457"/>
    <n v="9"/>
    <n v="2"/>
    <n v="298.17500000000001"/>
    <n v="18"/>
    <n v="200"/>
    <n v="1"/>
    <s v="A|B|C"/>
    <n v="1"/>
    <n v="1"/>
    <n v="0"/>
    <n v="0"/>
    <n v="0"/>
    <n v="2"/>
  </r>
  <r>
    <d v="2026-03-20T00:00:00"/>
    <s v="20/03/2026"/>
    <x v="4"/>
    <x v="0"/>
    <x v="22"/>
    <x v="21"/>
    <x v="5"/>
    <x v="5"/>
    <s v="AKD"/>
    <x v="0"/>
    <x v="0"/>
    <n v="27457"/>
    <n v="16"/>
    <n v="4"/>
    <n v="493.72"/>
    <n v="13"/>
    <n v="30"/>
    <n v="2"/>
    <s v="A|B|C"/>
    <n v="2"/>
    <n v="2"/>
    <n v="0"/>
    <n v="0"/>
    <n v="0"/>
    <n v="4"/>
  </r>
  <r>
    <d v="2026-03-20T00:00:00"/>
    <s v="20/03/2026"/>
    <x v="4"/>
    <x v="0"/>
    <x v="46"/>
    <x v="45"/>
    <x v="5"/>
    <x v="5"/>
    <s v="AKD"/>
    <x v="0"/>
    <x v="0"/>
    <n v="27457"/>
    <n v="10"/>
    <n v="2"/>
    <n v="173.459"/>
    <n v="0.4"/>
    <n v="20"/>
    <n v="1"/>
    <s v="A|B|C"/>
    <n v="1"/>
    <n v="1"/>
    <n v="0"/>
    <n v="0"/>
    <n v="0"/>
    <n v="2"/>
  </r>
  <r>
    <d v="2026-03-20T00:00:00"/>
    <s v="20/03/2026"/>
    <x v="4"/>
    <x v="0"/>
    <x v="103"/>
    <x v="101"/>
    <x v="5"/>
    <x v="5"/>
    <s v="AKD"/>
    <x v="0"/>
    <x v="0"/>
    <n v="27457"/>
    <n v="12"/>
    <n v="2"/>
    <n v="258.55399999999997"/>
    <n v="0.2"/>
    <n v="90"/>
    <n v="1"/>
    <s v="A|B|C"/>
    <n v="1"/>
    <n v="1"/>
    <n v="0"/>
    <n v="0"/>
    <n v="0"/>
    <n v="2"/>
  </r>
  <r>
    <d v="2026-03-20T00:00:00"/>
    <s v="20/03/2026"/>
    <x v="4"/>
    <x v="0"/>
    <x v="24"/>
    <x v="23"/>
    <x v="5"/>
    <x v="5"/>
    <s v="AKD"/>
    <x v="0"/>
    <x v="0"/>
    <n v="27457"/>
    <n v="20"/>
    <n v="4"/>
    <n v="451.03"/>
    <n v="8.4"/>
    <n v="30"/>
    <n v="2"/>
    <s v="A|B|C"/>
    <n v="2"/>
    <n v="2"/>
    <n v="0"/>
    <n v="0"/>
    <n v="0"/>
    <n v="4"/>
  </r>
  <r>
    <d v="2026-03-20T00:00:00"/>
    <s v="20/03/2026"/>
    <x v="4"/>
    <x v="0"/>
    <x v="27"/>
    <x v="26"/>
    <x v="5"/>
    <x v="5"/>
    <s v="AKD"/>
    <x v="0"/>
    <x v="0"/>
    <n v="27457"/>
    <n v="30"/>
    <n v="6"/>
    <n v="614.89"/>
    <n v="129.30000000000001"/>
    <n v="30"/>
    <n v="3"/>
    <s v="A|B|C"/>
    <n v="3"/>
    <n v="3"/>
    <n v="0"/>
    <n v="0"/>
    <n v="0"/>
    <n v="6"/>
  </r>
  <r>
    <d v="2026-03-20T00:00:00"/>
    <s v="20/03/2026"/>
    <x v="4"/>
    <x v="0"/>
    <x v="104"/>
    <x v="102"/>
    <x v="5"/>
    <x v="5"/>
    <s v="AKD"/>
    <x v="0"/>
    <x v="0"/>
    <n v="27457"/>
    <n v="59"/>
    <n v="20"/>
    <n v="1405.8040000000001"/>
    <n v="345.4"/>
    <n v="15"/>
    <n v="8"/>
    <s v="A|B|C"/>
    <n v="7"/>
    <n v="7"/>
    <n v="1"/>
    <n v="0"/>
    <n v="0"/>
    <n v="15"/>
  </r>
  <r>
    <d v="2026-03-20T00:00:00"/>
    <s v="20/03/2026"/>
    <x v="4"/>
    <x v="0"/>
    <x v="105"/>
    <x v="103"/>
    <x v="5"/>
    <x v="5"/>
    <s v="AKD"/>
    <x v="0"/>
    <x v="0"/>
    <n v="27457"/>
    <n v="64"/>
    <n v="12"/>
    <n v="1231.0719999999999"/>
    <n v="346.2"/>
    <n v="30"/>
    <n v="6"/>
    <s v="A|B|C"/>
    <n v="5"/>
    <n v="6"/>
    <n v="0"/>
    <n v="0"/>
    <n v="0"/>
    <n v="11"/>
  </r>
  <r>
    <d v="2026-03-20T00:00:00"/>
    <s v="20/03/2026"/>
    <x v="4"/>
    <x v="8"/>
    <x v="106"/>
    <x v="104"/>
    <x v="5"/>
    <x v="5"/>
    <s v="AKD"/>
    <x v="3"/>
    <x v="0"/>
    <n v="27457"/>
    <n v="13"/>
    <n v="2"/>
    <n v="214.84299999999999"/>
    <n v="17.2"/>
    <n v="60"/>
    <n v="1"/>
    <s v="A|B|C"/>
    <n v="1"/>
    <n v="1"/>
    <n v="0"/>
    <n v="0"/>
    <n v="0"/>
    <n v="2"/>
  </r>
  <r>
    <d v="2026-03-20T00:00:00"/>
    <s v="20/03/2026"/>
    <x v="4"/>
    <x v="8"/>
    <x v="107"/>
    <x v="105"/>
    <x v="5"/>
    <x v="5"/>
    <s v="AKD"/>
    <x v="3"/>
    <x v="0"/>
    <n v="27457"/>
    <n v="13"/>
    <n v="2"/>
    <n v="194.01"/>
    <n v="13.2"/>
    <n v="30"/>
    <n v="1"/>
    <s v="A|B|C"/>
    <n v="1"/>
    <n v="1"/>
    <n v="0"/>
    <n v="0"/>
    <n v="0"/>
    <n v="2"/>
  </r>
  <r>
    <d v="2026-03-21T00:00:00"/>
    <s v="20/03/2026"/>
    <x v="4"/>
    <x v="8"/>
    <x v="108"/>
    <x v="106"/>
    <x v="5"/>
    <x v="5"/>
    <s v="AKD"/>
    <x v="3"/>
    <x v="0"/>
    <n v="27457"/>
    <n v="19"/>
    <n v="2"/>
    <n v="207.16900000000001"/>
    <n v="15.4"/>
    <n v="30"/>
    <n v="1"/>
    <s v="A|B|C"/>
    <n v="2"/>
    <n v="0"/>
    <n v="1"/>
    <n v="0"/>
    <n v="0"/>
    <n v="3"/>
  </r>
  <r>
    <d v="2026-03-21T00:00:00"/>
    <s v="20/03/2026"/>
    <x v="4"/>
    <x v="8"/>
    <x v="109"/>
    <x v="107"/>
    <x v="5"/>
    <x v="5"/>
    <s v="AKD"/>
    <x v="3"/>
    <x v="0"/>
    <n v="27457"/>
    <n v="10"/>
    <n v="2"/>
    <n v="331.28500000000003"/>
    <n v="0.4"/>
    <n v="20"/>
    <n v="1"/>
    <s v="A|B|C"/>
    <n v="1"/>
    <n v="1"/>
    <n v="0"/>
    <n v="0"/>
    <n v="0"/>
    <n v="2"/>
  </r>
  <r>
    <d v="2026-03-21T00:00:00"/>
    <s v="20/03/2026"/>
    <x v="4"/>
    <x v="3"/>
    <x v="29"/>
    <x v="28"/>
    <x v="5"/>
    <x v="5"/>
    <s v="AKD"/>
    <x v="0"/>
    <x v="0"/>
    <n v="27457"/>
    <n v="32"/>
    <n v="4"/>
    <n v="298.755"/>
    <n v="0.8"/>
    <n v="20"/>
    <n v="2"/>
    <s v="A|B|C"/>
    <n v="2"/>
    <n v="2"/>
    <n v="0"/>
    <n v="0"/>
    <n v="0"/>
    <n v="4"/>
  </r>
  <r>
    <d v="2026-03-21T00:00:00"/>
    <s v="20/03/2026"/>
    <x v="4"/>
    <x v="3"/>
    <x v="50"/>
    <x v="49"/>
    <x v="5"/>
    <x v="5"/>
    <s v="AKD"/>
    <x v="0"/>
    <x v="0"/>
    <n v="27457"/>
    <n v="73"/>
    <n v="8"/>
    <n v="1140.3330000000001"/>
    <n v="150.4"/>
    <n v="15"/>
    <n v="4"/>
    <s v="A|B|C"/>
    <n v="5"/>
    <n v="2"/>
    <n v="1"/>
    <n v="0"/>
    <n v="0"/>
    <n v="8"/>
  </r>
  <r>
    <d v="2026-03-21T00:00:00"/>
    <s v="20/03/2026"/>
    <x v="4"/>
    <x v="3"/>
    <x v="110"/>
    <x v="108"/>
    <x v="5"/>
    <x v="5"/>
    <s v="AKD"/>
    <x v="0"/>
    <x v="0"/>
    <n v="27457"/>
    <n v="98"/>
    <n v="26"/>
    <n v="1986.393"/>
    <n v="439.1"/>
    <n v="20"/>
    <n v="9"/>
    <s v="A|B|C"/>
    <n v="9"/>
    <n v="7"/>
    <n v="4"/>
    <n v="0"/>
    <n v="0"/>
    <n v="20"/>
  </r>
  <r>
    <d v="2026-03-21T00:00:00"/>
    <s v="20/03/2026"/>
    <x v="4"/>
    <x v="3"/>
    <x v="111"/>
    <x v="109"/>
    <x v="5"/>
    <x v="5"/>
    <s v="AKD"/>
    <x v="0"/>
    <x v="0"/>
    <n v="27457"/>
    <n v="90"/>
    <n v="14"/>
    <n v="790.64099999999996"/>
    <n v="208.83500000000001"/>
    <n v="10"/>
    <n v="5"/>
    <s v="A|B|C"/>
    <n v="4"/>
    <n v="5"/>
    <n v="1"/>
    <n v="0"/>
    <n v="0"/>
    <n v="10"/>
  </r>
  <r>
    <d v="2026-03-21T00:00:00"/>
    <s v="20/03/2026"/>
    <x v="4"/>
    <x v="3"/>
    <x v="112"/>
    <x v="110"/>
    <x v="5"/>
    <x v="5"/>
    <s v="AKD"/>
    <x v="3"/>
    <x v="0"/>
    <n v="27457"/>
    <n v="31"/>
    <n v="1"/>
    <n v="127.956"/>
    <n v="2.4"/>
    <n v="20"/>
    <n v="0"/>
    <s v="A|B|C"/>
    <n v="1"/>
    <n v="1"/>
    <n v="0"/>
    <n v="0"/>
    <n v="0"/>
    <n v="2"/>
  </r>
  <r>
    <d v="2026-03-21T00:00:00"/>
    <s v="20/03/2026"/>
    <x v="4"/>
    <x v="3"/>
    <x v="113"/>
    <x v="111"/>
    <x v="5"/>
    <x v="5"/>
    <s v="AKD"/>
    <x v="5"/>
    <x v="0"/>
    <n v="27457"/>
    <n v="3"/>
    <n v="1"/>
    <n v="9.43"/>
    <n v="5.4"/>
    <n v="7"/>
    <n v="1"/>
    <s v="A|B|C"/>
    <n v="0"/>
    <n v="0"/>
    <n v="0"/>
    <n v="0"/>
    <n v="0"/>
    <n v="0"/>
  </r>
  <r>
    <d v="2026-03-21T00:00:00"/>
    <s v="20/03/2026"/>
    <x v="4"/>
    <x v="3"/>
    <x v="42"/>
    <x v="41"/>
    <x v="5"/>
    <x v="5"/>
    <s v="AKD"/>
    <x v="0"/>
    <x v="0"/>
    <n v="27457"/>
    <n v="37"/>
    <n v="4"/>
    <n v="246.45699999999999"/>
    <n v="0.8"/>
    <n v="20"/>
    <n v="2"/>
    <s v="A|B|C"/>
    <n v="2"/>
    <n v="2"/>
    <n v="0"/>
    <n v="0"/>
    <n v="0"/>
    <n v="4"/>
  </r>
  <r>
    <d v="2026-03-21T00:00:00"/>
    <s v="20/03/2026"/>
    <x v="4"/>
    <x v="3"/>
    <x v="114"/>
    <x v="112"/>
    <x v="5"/>
    <x v="5"/>
    <s v="AKD"/>
    <x v="0"/>
    <x v="0"/>
    <n v="27457"/>
    <n v="52"/>
    <n v="12"/>
    <n v="728.62400000000002"/>
    <n v="182.5"/>
    <n v="20"/>
    <n v="5"/>
    <s v="A|B|C"/>
    <n v="4"/>
    <n v="3"/>
    <n v="2"/>
    <n v="0"/>
    <n v="0"/>
    <n v="9"/>
  </r>
  <r>
    <d v="2026-03-21T00:00:00"/>
    <s v="20/03/2026"/>
    <x v="4"/>
    <x v="1"/>
    <x v="115"/>
    <x v="113"/>
    <x v="5"/>
    <x v="5"/>
    <s v="AKD"/>
    <x v="0"/>
    <x v="0"/>
    <n v="27457"/>
    <n v="34"/>
    <n v="10"/>
    <n v="786.64099999999996"/>
    <n v="162"/>
    <n v="20"/>
    <n v="5"/>
    <s v="A|B|C"/>
    <n v="4"/>
    <n v="3"/>
    <n v="1"/>
    <n v="0"/>
    <n v="0"/>
    <n v="8"/>
  </r>
  <r>
    <d v="2026-03-21T00:00:00"/>
    <s v="20/03/2026"/>
    <x v="4"/>
    <x v="1"/>
    <x v="116"/>
    <x v="114"/>
    <x v="5"/>
    <x v="5"/>
    <s v="AKD"/>
    <x v="0"/>
    <x v="0"/>
    <n v="27457"/>
    <n v="50"/>
    <n v="44"/>
    <n v="1739.769"/>
    <n v="606"/>
    <n v="15"/>
    <n v="11"/>
    <s v="A|B|C"/>
    <n v="11"/>
    <n v="7"/>
    <n v="4"/>
    <n v="0"/>
    <n v="0"/>
    <n v="22"/>
  </r>
  <r>
    <d v="2026-03-21T00:00:00"/>
    <s v="20/03/2026"/>
    <x v="4"/>
    <x v="1"/>
    <x v="117"/>
    <x v="115"/>
    <x v="5"/>
    <x v="5"/>
    <s v="AKD"/>
    <x v="0"/>
    <x v="0"/>
    <n v="27457"/>
    <n v="32"/>
    <n v="8"/>
    <n v="929.13599999999997"/>
    <n v="129.6"/>
    <n v="30"/>
    <n v="4"/>
    <s v="A|B|C"/>
    <n v="4"/>
    <n v="4"/>
    <n v="0"/>
    <n v="0"/>
    <n v="0"/>
    <n v="8"/>
  </r>
  <r>
    <d v="2026-03-21T00:00:00"/>
    <s v="20/03/2026"/>
    <x v="4"/>
    <x v="0"/>
    <x v="96"/>
    <x v="95"/>
    <x v="5"/>
    <x v="5"/>
    <s v="AKD"/>
    <x v="5"/>
    <x v="1"/>
    <n v="27456"/>
    <n v="65"/>
    <n v="8"/>
    <n v="517.39800000000002"/>
    <n v="5.9"/>
    <n v="20"/>
    <n v="4"/>
    <s v="A|B|C"/>
    <n v="4"/>
    <n v="4"/>
    <n v="0"/>
    <n v="0"/>
    <n v="0"/>
    <n v="8"/>
  </r>
  <r>
    <d v="2026-03-21T00:00:00"/>
    <s v="20/03/2026"/>
    <x v="4"/>
    <x v="0"/>
    <x v="98"/>
    <x v="2"/>
    <x v="5"/>
    <x v="5"/>
    <s v="AKD"/>
    <x v="0"/>
    <x v="1"/>
    <n v="27456"/>
    <n v="83"/>
    <n v="22"/>
    <n v="1936.691"/>
    <n v="408.3"/>
    <n v="25"/>
    <n v="11"/>
    <s v="A|B|C"/>
    <n v="12"/>
    <n v="8"/>
    <n v="3"/>
    <n v="0"/>
    <n v="0"/>
    <n v="23"/>
  </r>
  <r>
    <d v="2026-03-21T00:00:00"/>
    <s v="20/03/2026"/>
    <x v="4"/>
    <x v="1"/>
    <x v="2"/>
    <x v="2"/>
    <x v="5"/>
    <x v="5"/>
    <s v="AKD"/>
    <x v="0"/>
    <x v="1"/>
    <n v="27456"/>
    <n v="75"/>
    <n v="14"/>
    <n v="1669.72"/>
    <n v="269.60000000000002"/>
    <n v="25"/>
    <n v="7"/>
    <s v="A|B|C"/>
    <n v="9"/>
    <n v="5"/>
    <n v="3"/>
    <n v="0"/>
    <n v="0"/>
    <n v="17"/>
  </r>
  <r>
    <d v="2026-03-21T00:00:00"/>
    <s v="20/03/2026"/>
    <x v="4"/>
    <x v="0"/>
    <x v="5"/>
    <x v="4"/>
    <x v="5"/>
    <x v="5"/>
    <s v="AKD"/>
    <x v="1"/>
    <x v="1"/>
    <n v="27456"/>
    <n v="8"/>
    <n v="2"/>
    <n v="196.50800000000001"/>
    <n v="2.9"/>
    <n v="30"/>
    <n v="1"/>
    <s v="A|B|C"/>
    <n v="1"/>
    <n v="1"/>
    <n v="0"/>
    <n v="0"/>
    <n v="0"/>
    <n v="2"/>
  </r>
  <r>
    <d v="2026-03-21T00:00:00"/>
    <s v="20/03/2026"/>
    <x v="4"/>
    <x v="0"/>
    <x v="6"/>
    <x v="5"/>
    <x v="5"/>
    <x v="5"/>
    <s v="AKD"/>
    <x v="0"/>
    <x v="1"/>
    <n v="27456"/>
    <n v="5"/>
    <n v="1"/>
    <n v="230.75700000000001"/>
    <n v="20.9"/>
    <n v="0"/>
    <n v="1"/>
    <s v="A|B|C"/>
    <n v="1"/>
    <n v="1"/>
    <n v="0"/>
    <n v="0"/>
    <n v="0"/>
    <n v="2"/>
  </r>
  <r>
    <d v="2026-03-21T00:00:00"/>
    <s v="20/03/2026"/>
    <x v="4"/>
    <x v="0"/>
    <x v="7"/>
    <x v="6"/>
    <x v="5"/>
    <x v="5"/>
    <s v="AKD"/>
    <x v="0"/>
    <x v="1"/>
    <n v="27456"/>
    <n v="5"/>
    <n v="1"/>
    <n v="229.61099999999999"/>
    <n v="22.2"/>
    <n v="30"/>
    <n v="0"/>
    <s v="A|B|C"/>
    <n v="0"/>
    <n v="0"/>
    <n v="0"/>
    <n v="0"/>
    <n v="0"/>
    <n v="0"/>
  </r>
  <r>
    <d v="2026-03-21T00:00:00"/>
    <s v="20/03/2026"/>
    <x v="4"/>
    <x v="0"/>
    <x v="8"/>
    <x v="7"/>
    <x v="5"/>
    <x v="5"/>
    <s v="AKD"/>
    <x v="0"/>
    <x v="1"/>
    <n v="27456"/>
    <n v="54"/>
    <n v="8"/>
    <n v="738.53399999999999"/>
    <n v="183.9"/>
    <n v="25"/>
    <n v="4"/>
    <s v="A|B|C"/>
    <n v="3"/>
    <n v="4"/>
    <n v="0"/>
    <n v="0"/>
    <n v="0"/>
    <n v="7"/>
  </r>
  <r>
    <d v="2026-03-21T00:00:00"/>
    <s v="20/03/2026"/>
    <x v="4"/>
    <x v="0"/>
    <x v="99"/>
    <x v="97"/>
    <x v="5"/>
    <x v="5"/>
    <s v="AKD"/>
    <x v="0"/>
    <x v="1"/>
    <n v="27456"/>
    <n v="48"/>
    <n v="8"/>
    <n v="959.76"/>
    <n v="0.8"/>
    <n v="25"/>
    <n v="4"/>
    <s v="A|B|C"/>
    <n v="4"/>
    <n v="3"/>
    <n v="1"/>
    <n v="0"/>
    <n v="0"/>
    <n v="8"/>
  </r>
  <r>
    <d v="2026-03-21T00:00:00"/>
    <s v="20/03/2026"/>
    <x v="4"/>
    <x v="0"/>
    <x v="100"/>
    <x v="98"/>
    <x v="5"/>
    <x v="5"/>
    <s v="AKD"/>
    <x v="0"/>
    <x v="1"/>
    <n v="27456"/>
    <n v="18"/>
    <n v="4"/>
    <n v="552.44600000000003"/>
    <n v="57.3"/>
    <n v="20"/>
    <n v="2"/>
    <s v="A|B|C"/>
    <n v="1"/>
    <n v="2"/>
    <n v="0"/>
    <n v="0"/>
    <n v="0"/>
    <n v="3"/>
  </r>
  <r>
    <d v="2026-03-21T00:00:00"/>
    <s v="20/03/2026"/>
    <x v="4"/>
    <x v="0"/>
    <x v="101"/>
    <x v="99"/>
    <x v="5"/>
    <x v="5"/>
    <s v="AKD"/>
    <x v="0"/>
    <x v="1"/>
    <n v="27456"/>
    <n v="40"/>
    <n v="8"/>
    <n v="1120.579"/>
    <n v="110.9"/>
    <n v="30"/>
    <n v="4"/>
    <s v="A|B|C"/>
    <n v="3"/>
    <n v="4"/>
    <n v="0"/>
    <n v="0"/>
    <n v="0"/>
    <n v="7"/>
  </r>
  <r>
    <d v="2026-03-21T00:00:00"/>
    <s v="20/03/2026"/>
    <x v="4"/>
    <x v="0"/>
    <x v="102"/>
    <x v="100"/>
    <x v="5"/>
    <x v="5"/>
    <s v="AKD"/>
    <x v="0"/>
    <x v="1"/>
    <n v="27456"/>
    <n v="46"/>
    <n v="10"/>
    <n v="1078.3320000000001"/>
    <n v="97.7"/>
    <n v="30"/>
    <n v="5"/>
    <s v="A|B|C"/>
    <n v="3"/>
    <n v="4"/>
    <n v="0"/>
    <n v="0"/>
    <n v="0"/>
    <n v="7"/>
  </r>
  <r>
    <d v="2026-03-21T00:00:00"/>
    <s v="20/03/2026"/>
    <x v="4"/>
    <x v="0"/>
    <x v="15"/>
    <x v="14"/>
    <x v="5"/>
    <x v="5"/>
    <s v="AKD"/>
    <x v="0"/>
    <x v="1"/>
    <n v="27456"/>
    <n v="78"/>
    <n v="16"/>
    <n v="1289.22"/>
    <n v="284.8"/>
    <n v="25"/>
    <n v="8"/>
    <s v="A|B|C"/>
    <n v="7"/>
    <n v="8"/>
    <n v="0"/>
    <n v="0"/>
    <n v="0"/>
    <n v="15"/>
  </r>
  <r>
    <d v="2026-03-21T00:00:00"/>
    <s v="20/03/2026"/>
    <x v="4"/>
    <x v="0"/>
    <x v="18"/>
    <x v="17"/>
    <x v="5"/>
    <x v="5"/>
    <s v="AKD"/>
    <x v="0"/>
    <x v="1"/>
    <n v="27456"/>
    <n v="40"/>
    <n v="8"/>
    <n v="1322.14"/>
    <n v="0.8"/>
    <n v="20"/>
    <n v="4"/>
    <s v="A|B|C"/>
    <n v="4"/>
    <n v="4"/>
    <n v="0"/>
    <n v="0"/>
    <n v="0"/>
    <n v="8"/>
  </r>
  <r>
    <d v="2026-03-21T00:00:00"/>
    <s v="20/03/2026"/>
    <x v="4"/>
    <x v="0"/>
    <x v="20"/>
    <x v="19"/>
    <x v="5"/>
    <x v="5"/>
    <s v="AKD"/>
    <x v="3"/>
    <x v="1"/>
    <n v="27456"/>
    <n v="8"/>
    <n v="2"/>
    <n v="264.596"/>
    <n v="0.2"/>
    <n v="60"/>
    <n v="1"/>
    <s v="A|B|C"/>
    <n v="1"/>
    <n v="1"/>
    <n v="0"/>
    <n v="0"/>
    <n v="0"/>
    <n v="2"/>
  </r>
  <r>
    <d v="2026-03-21T00:00:00"/>
    <s v="20/03/2026"/>
    <x v="4"/>
    <x v="0"/>
    <x v="22"/>
    <x v="21"/>
    <x v="5"/>
    <x v="5"/>
    <s v="AKD"/>
    <x v="0"/>
    <x v="1"/>
    <n v="27456"/>
    <n v="6"/>
    <n v="2"/>
    <n v="185.14500000000001"/>
    <n v="6.5"/>
    <n v="260"/>
    <n v="1"/>
    <s v="A|B|C"/>
    <n v="1"/>
    <n v="1"/>
    <n v="0"/>
    <n v="0"/>
    <n v="0"/>
    <n v="2"/>
  </r>
  <r>
    <d v="2026-03-21T00:00:00"/>
    <s v="20/03/2026"/>
    <x v="4"/>
    <x v="0"/>
    <x v="46"/>
    <x v="45"/>
    <x v="5"/>
    <x v="5"/>
    <s v="AKD"/>
    <x v="0"/>
    <x v="1"/>
    <n v="27456"/>
    <n v="30"/>
    <n v="6"/>
    <n v="520.37900000000002"/>
    <n v="1.2"/>
    <n v="60"/>
    <n v="3"/>
    <s v="A|B|C"/>
    <n v="3"/>
    <n v="3"/>
    <n v="0"/>
    <n v="0"/>
    <n v="0"/>
    <n v="6"/>
  </r>
  <r>
    <d v="2026-03-21T00:00:00"/>
    <s v="20/03/2026"/>
    <x v="4"/>
    <x v="0"/>
    <x v="103"/>
    <x v="101"/>
    <x v="5"/>
    <x v="5"/>
    <s v="AKD"/>
    <x v="0"/>
    <x v="1"/>
    <n v="27456"/>
    <n v="26"/>
    <n v="4"/>
    <n v="568.72299999999996"/>
    <n v="0.4"/>
    <n v="30"/>
    <n v="2"/>
    <s v="A|B|C"/>
    <n v="2"/>
    <n v="2"/>
    <n v="0"/>
    <n v="0"/>
    <n v="0"/>
    <n v="4"/>
  </r>
  <r>
    <d v="2026-03-21T00:00:00"/>
    <s v="20/03/2026"/>
    <x v="4"/>
    <x v="0"/>
    <x v="118"/>
    <x v="116"/>
    <x v="5"/>
    <x v="5"/>
    <s v="AKD"/>
    <x v="0"/>
    <x v="1"/>
    <n v="27456"/>
    <n v="12"/>
    <n v="2"/>
    <n v="188.16499999999999"/>
    <n v="0.2"/>
    <n v="30"/>
    <n v="1"/>
    <s v="A|B|C"/>
    <n v="1"/>
    <n v="1"/>
    <n v="0"/>
    <n v="0"/>
    <n v="0"/>
    <n v="2"/>
  </r>
  <r>
    <d v="2026-03-21T00:00:00"/>
    <s v="20/03/2026"/>
    <x v="4"/>
    <x v="0"/>
    <x v="24"/>
    <x v="23"/>
    <x v="5"/>
    <x v="5"/>
    <s v="AKD"/>
    <x v="0"/>
    <x v="1"/>
    <n v="27456"/>
    <n v="20"/>
    <n v="4"/>
    <n v="451.03"/>
    <n v="8.4"/>
    <n v="30"/>
    <n v="2"/>
    <s v="A|B|C"/>
    <n v="2"/>
    <n v="2"/>
    <n v="0"/>
    <n v="0"/>
    <n v="0"/>
    <n v="4"/>
  </r>
  <r>
    <d v="2026-03-21T00:00:00"/>
    <s v="20/03/2026"/>
    <x v="4"/>
    <x v="0"/>
    <x v="27"/>
    <x v="26"/>
    <x v="5"/>
    <x v="5"/>
    <s v="AKD"/>
    <x v="0"/>
    <x v="1"/>
    <n v="27456"/>
    <n v="30"/>
    <n v="6"/>
    <n v="614.89"/>
    <n v="129.30000000000001"/>
    <n v="35"/>
    <n v="3"/>
    <s v="A|B|C"/>
    <n v="3"/>
    <n v="3"/>
    <n v="0"/>
    <n v="0"/>
    <n v="0"/>
    <n v="6"/>
  </r>
  <r>
    <d v="2026-03-21T00:00:00"/>
    <s v="20/03/2026"/>
    <x v="4"/>
    <x v="0"/>
    <x v="104"/>
    <x v="102"/>
    <x v="5"/>
    <x v="5"/>
    <s v="AKD"/>
    <x v="0"/>
    <x v="1"/>
    <n v="27456"/>
    <n v="50"/>
    <n v="12"/>
    <n v="1192.4000000000001"/>
    <n v="248"/>
    <n v="20"/>
    <n v="6"/>
    <s v="A|B|C"/>
    <n v="5"/>
    <n v="5"/>
    <n v="1"/>
    <n v="0"/>
    <n v="0"/>
    <n v="11"/>
  </r>
  <r>
    <d v="2026-03-21T00:00:00"/>
    <s v="20/03/2026"/>
    <x v="4"/>
    <x v="0"/>
    <x v="105"/>
    <x v="103"/>
    <x v="5"/>
    <x v="5"/>
    <s v="AKD"/>
    <x v="0"/>
    <x v="1"/>
    <n v="27456"/>
    <n v="64"/>
    <n v="12"/>
    <n v="1231.0719999999999"/>
    <n v="346.2"/>
    <n v="30"/>
    <n v="6"/>
    <s v="A|B|C"/>
    <n v="5"/>
    <n v="6"/>
    <n v="0"/>
    <n v="0"/>
    <n v="0"/>
    <n v="11"/>
  </r>
  <r>
    <d v="2026-03-21T00:00:00"/>
    <s v="20/03/2026"/>
    <x v="4"/>
    <x v="8"/>
    <x v="106"/>
    <x v="104"/>
    <x v="5"/>
    <x v="5"/>
    <s v="AKD"/>
    <x v="3"/>
    <x v="1"/>
    <n v="27456"/>
    <n v="12"/>
    <n v="2"/>
    <n v="199.32400000000001"/>
    <n v="10"/>
    <n v="12"/>
    <n v="1"/>
    <s v="A|B|C"/>
    <n v="1"/>
    <n v="1"/>
    <n v="0"/>
    <n v="0"/>
    <n v="0"/>
    <n v="2"/>
  </r>
  <r>
    <d v="2026-03-21T00:00:00"/>
    <s v="20/03/2026"/>
    <x v="4"/>
    <x v="8"/>
    <x v="107"/>
    <x v="105"/>
    <x v="5"/>
    <x v="5"/>
    <s v="AKD"/>
    <x v="3"/>
    <x v="1"/>
    <n v="27456"/>
    <n v="13"/>
    <n v="2"/>
    <n v="194.01"/>
    <n v="13.2"/>
    <n v="30"/>
    <n v="1"/>
    <s v="A|B|C"/>
    <n v="1"/>
    <n v="1"/>
    <n v="0"/>
    <n v="0"/>
    <n v="0"/>
    <n v="2"/>
  </r>
  <r>
    <d v="2026-03-21T00:00:00"/>
    <s v="20/03/2026"/>
    <x v="4"/>
    <x v="8"/>
    <x v="108"/>
    <x v="106"/>
    <x v="5"/>
    <x v="5"/>
    <s v="AKD"/>
    <x v="3"/>
    <x v="1"/>
    <n v="27456"/>
    <n v="23"/>
    <n v="2"/>
    <n v="250.83500000000001"/>
    <n v="15.4"/>
    <n v="30"/>
    <n v="1"/>
    <s v="A|B|C"/>
    <n v="2"/>
    <n v="0"/>
    <n v="1"/>
    <n v="0"/>
    <n v="0"/>
    <n v="3"/>
  </r>
  <r>
    <d v="2026-03-22T00:00:00"/>
    <s v="20/03/2026"/>
    <x v="4"/>
    <x v="8"/>
    <x v="109"/>
    <x v="107"/>
    <x v="5"/>
    <x v="5"/>
    <s v="AKD"/>
    <x v="3"/>
    <x v="1"/>
    <n v="27456"/>
    <n v="24"/>
    <n v="4"/>
    <n v="795.08399999999995"/>
    <n v="0.8"/>
    <n v="60"/>
    <n v="2"/>
    <s v="A|B|C"/>
    <n v="3"/>
    <n v="1"/>
    <n v="2"/>
    <n v="0"/>
    <n v="0"/>
    <n v="6"/>
  </r>
  <r>
    <d v="2026-03-22T00:00:00"/>
    <s v="20/03/2026"/>
    <x v="4"/>
    <x v="3"/>
    <x v="29"/>
    <x v="28"/>
    <x v="5"/>
    <x v="5"/>
    <s v="AKD"/>
    <x v="0"/>
    <x v="1"/>
    <n v="27456"/>
    <n v="34"/>
    <n v="4"/>
    <n v="317.42700000000002"/>
    <n v="0.8"/>
    <n v="25"/>
    <n v="2"/>
    <s v="A|B|C"/>
    <n v="3"/>
    <n v="1"/>
    <n v="1"/>
    <n v="0"/>
    <n v="0"/>
    <n v="5"/>
  </r>
  <r>
    <d v="2026-03-22T00:00:00"/>
    <s v="20/03/2026"/>
    <x v="4"/>
    <x v="3"/>
    <x v="110"/>
    <x v="108"/>
    <x v="5"/>
    <x v="5"/>
    <s v="AKD"/>
    <x v="0"/>
    <x v="1"/>
    <n v="27456"/>
    <n v="81"/>
    <n v="14"/>
    <n v="1639.1469999999999"/>
    <n v="299.39999999999998"/>
    <n v="25"/>
    <n v="6"/>
    <s v="A|B|C"/>
    <n v="8"/>
    <n v="4"/>
    <n v="3"/>
    <n v="0"/>
    <n v="0"/>
    <n v="15"/>
  </r>
  <r>
    <d v="2026-03-22T00:00:00"/>
    <s v="20/03/2026"/>
    <x v="4"/>
    <x v="3"/>
    <x v="111"/>
    <x v="109"/>
    <x v="5"/>
    <x v="5"/>
    <s v="AKD"/>
    <x v="0"/>
    <x v="1"/>
    <n v="27456"/>
    <n v="80"/>
    <n v="8"/>
    <n v="702.79200000000003"/>
    <n v="172"/>
    <n v="12"/>
    <n v="4"/>
    <s v="A|B|C"/>
    <n v="4"/>
    <n v="3"/>
    <n v="1"/>
    <n v="0"/>
    <n v="0"/>
    <n v="8"/>
  </r>
  <r>
    <d v="2026-03-22T00:00:00"/>
    <s v="20/03/2026"/>
    <x v="4"/>
    <x v="3"/>
    <x v="42"/>
    <x v="41"/>
    <x v="5"/>
    <x v="5"/>
    <s v="AKD"/>
    <x v="0"/>
    <x v="1"/>
    <n v="27456"/>
    <n v="38"/>
    <n v="4"/>
    <n v="253.11799999999999"/>
    <n v="0.8"/>
    <n v="20"/>
    <n v="2"/>
    <s v="A|B|C"/>
    <n v="2"/>
    <n v="2"/>
    <n v="0"/>
    <n v="0"/>
    <n v="0"/>
    <n v="4"/>
  </r>
  <r>
    <d v="2026-03-22T00:00:00"/>
    <s v="20/03/2026"/>
    <x v="4"/>
    <x v="3"/>
    <x v="114"/>
    <x v="112"/>
    <x v="5"/>
    <x v="5"/>
    <s v="AKD"/>
    <x v="0"/>
    <x v="1"/>
    <n v="27456"/>
    <n v="52"/>
    <n v="10"/>
    <n v="728.62400000000002"/>
    <n v="177.5"/>
    <n v="20"/>
    <n v="5"/>
    <s v="A|B|C"/>
    <n v="5"/>
    <n v="3"/>
    <n v="2"/>
    <n v="0"/>
    <n v="0"/>
    <n v="10"/>
  </r>
  <r>
    <d v="2026-03-22T00:00:00"/>
    <s v="20/03/2026"/>
    <x v="4"/>
    <x v="1"/>
    <x v="115"/>
    <x v="113"/>
    <x v="5"/>
    <x v="5"/>
    <s v="AKD"/>
    <x v="0"/>
    <x v="1"/>
    <n v="27456"/>
    <n v="36"/>
    <n v="7"/>
    <n v="832.91399999999999"/>
    <n v="113.3"/>
    <n v="20"/>
    <n v="4"/>
    <s v="A|B|C"/>
    <n v="5"/>
    <n v="5"/>
    <n v="0"/>
    <n v="0"/>
    <n v="0"/>
    <n v="10"/>
  </r>
  <r>
    <d v="2026-03-22T00:00:00"/>
    <s v="20/03/2026"/>
    <x v="4"/>
    <x v="1"/>
    <x v="116"/>
    <x v="114"/>
    <x v="5"/>
    <x v="5"/>
    <s v="AKD"/>
    <x v="0"/>
    <x v="1"/>
    <n v="27456"/>
    <n v="32"/>
    <n v="28"/>
    <n v="1112.7529999999999"/>
    <n v="340"/>
    <n v="20"/>
    <n v="7"/>
    <s v="A|B|C"/>
    <n v="7"/>
    <n v="4"/>
    <n v="3"/>
    <n v="0"/>
    <n v="0"/>
    <n v="14"/>
  </r>
  <r>
    <d v="2026-03-22T00:00:00"/>
    <s v="20/03/2026"/>
    <x v="4"/>
    <x v="1"/>
    <x v="117"/>
    <x v="115"/>
    <x v="5"/>
    <x v="5"/>
    <s v="AKD"/>
    <x v="0"/>
    <x v="1"/>
    <n v="27456"/>
    <n v="32"/>
    <n v="9"/>
    <n v="929.13599999999997"/>
    <n v="145.9"/>
    <n v="30"/>
    <n v="4"/>
    <s v="A|B|C"/>
    <n v="2"/>
    <n v="3"/>
    <n v="0"/>
    <n v="0"/>
    <n v="0"/>
    <n v="5"/>
  </r>
  <r>
    <d v="2026-03-22T00:00:00"/>
    <s v="20/03/2026"/>
    <x v="4"/>
    <x v="0"/>
    <x v="96"/>
    <x v="95"/>
    <x v="5"/>
    <x v="5"/>
    <s v="AKD"/>
    <x v="5"/>
    <x v="2"/>
    <n v="27458"/>
    <n v="68"/>
    <n v="8"/>
    <n v="540.19200000000001"/>
    <n v="1.6"/>
    <n v="30"/>
    <n v="4"/>
    <s v="A|B|C"/>
    <n v="4"/>
    <n v="4"/>
    <n v="0"/>
    <n v="0"/>
    <n v="0"/>
    <n v="8"/>
  </r>
  <r>
    <d v="2026-03-22T00:00:00"/>
    <s v="20/03/2026"/>
    <x v="4"/>
    <x v="0"/>
    <x v="97"/>
    <x v="96"/>
    <x v="5"/>
    <x v="5"/>
    <s v="AKD"/>
    <x v="5"/>
    <x v="2"/>
    <n v="27458"/>
    <n v="14"/>
    <n v="2"/>
    <n v="355.18400000000003"/>
    <n v="0.2"/>
    <n v="30"/>
    <n v="1"/>
    <s v="A|B|C"/>
    <n v="1"/>
    <n v="1"/>
    <n v="0"/>
    <n v="0"/>
    <n v="0"/>
    <n v="2"/>
  </r>
  <r>
    <d v="2026-03-22T00:00:00"/>
    <s v="20/03/2026"/>
    <x v="4"/>
    <x v="0"/>
    <x v="98"/>
    <x v="2"/>
    <x v="5"/>
    <x v="5"/>
    <s v="AKD"/>
    <x v="0"/>
    <x v="2"/>
    <n v="27458"/>
    <n v="75"/>
    <n v="16"/>
    <n v="1756.2570000000001"/>
    <n v="318.5"/>
    <n v="30"/>
    <n v="8"/>
    <s v="A|B|C"/>
    <n v="8"/>
    <n v="6"/>
    <n v="3"/>
    <n v="0"/>
    <n v="0"/>
    <n v="17"/>
  </r>
  <r>
    <d v="2026-03-22T00:00:00"/>
    <s v="20/03/2026"/>
    <x v="4"/>
    <x v="1"/>
    <x v="2"/>
    <x v="2"/>
    <x v="5"/>
    <x v="5"/>
    <s v="AKD"/>
    <x v="0"/>
    <x v="2"/>
    <n v="27458"/>
    <n v="75"/>
    <n v="12"/>
    <n v="1670.1189999999999"/>
    <n v="157.19999999999999"/>
    <n v="30"/>
    <n v="6"/>
    <s v="A|B|C"/>
    <n v="6"/>
    <n v="5"/>
    <n v="3"/>
    <n v="0"/>
    <n v="0"/>
    <n v="14"/>
  </r>
  <r>
    <d v="2026-03-22T00:00:00"/>
    <s v="20/03/2026"/>
    <x v="4"/>
    <x v="0"/>
    <x v="5"/>
    <x v="4"/>
    <x v="5"/>
    <x v="5"/>
    <s v="AKD"/>
    <x v="1"/>
    <x v="2"/>
    <n v="27458"/>
    <n v="10"/>
    <n v="2"/>
    <n v="245.63499999999999"/>
    <n v="2.9"/>
    <n v="49"/>
    <n v="1"/>
    <s v="A|B|C"/>
    <n v="1"/>
    <n v="1"/>
    <n v="0"/>
    <n v="0"/>
    <n v="0"/>
    <n v="2"/>
  </r>
  <r>
    <d v="2026-03-22T00:00:00"/>
    <s v="20/03/2026"/>
    <x v="4"/>
    <x v="0"/>
    <x v="8"/>
    <x v="7"/>
    <x v="5"/>
    <x v="5"/>
    <s v="AKD"/>
    <x v="0"/>
    <x v="2"/>
    <n v="27458"/>
    <n v="70"/>
    <n v="10"/>
    <n v="957.35900000000004"/>
    <n v="190.4"/>
    <n v="25"/>
    <n v="5"/>
    <s v="A|B|C"/>
    <n v="4"/>
    <n v="4"/>
    <n v="1"/>
    <n v="0"/>
    <n v="0"/>
    <n v="9"/>
  </r>
  <r>
    <d v="2026-03-22T00:00:00"/>
    <s v="20/03/2026"/>
    <x v="4"/>
    <x v="0"/>
    <x v="99"/>
    <x v="97"/>
    <x v="5"/>
    <x v="5"/>
    <s v="AKD"/>
    <x v="5"/>
    <x v="2"/>
    <n v="27458"/>
    <n v="54"/>
    <n v="8"/>
    <n v="1079.73"/>
    <n v="0.8"/>
    <n v="30"/>
    <n v="4"/>
    <s v="A|B|C"/>
    <n v="4"/>
    <n v="4"/>
    <n v="0"/>
    <n v="0"/>
    <n v="0"/>
    <n v="8"/>
  </r>
  <r>
    <d v="2026-03-22T00:00:00"/>
    <s v="20/03/2026"/>
    <x v="4"/>
    <x v="0"/>
    <x v="100"/>
    <x v="98"/>
    <x v="5"/>
    <x v="5"/>
    <s v="AKD"/>
    <x v="0"/>
    <x v="2"/>
    <n v="27458"/>
    <n v="6"/>
    <n v="2"/>
    <n v="185.26499999999999"/>
    <n v="27.7"/>
    <n v="30"/>
    <n v="1"/>
    <s v="A|B|C"/>
    <n v="0"/>
    <n v="1"/>
    <n v="0"/>
    <n v="0"/>
    <n v="0"/>
    <n v="1"/>
  </r>
  <r>
    <d v="2026-03-22T00:00:00"/>
    <s v="20/03/2026"/>
    <x v="4"/>
    <x v="0"/>
    <x v="101"/>
    <x v="99"/>
    <x v="5"/>
    <x v="5"/>
    <s v="AKD"/>
    <x v="0"/>
    <x v="2"/>
    <n v="27458"/>
    <n v="42"/>
    <n v="8"/>
    <n v="1175"/>
    <n v="112.7"/>
    <n v="30"/>
    <n v="4"/>
    <s v="A|B|C"/>
    <n v="6"/>
    <n v="1"/>
    <n v="3"/>
    <n v="0"/>
    <n v="0"/>
    <n v="10"/>
  </r>
  <r>
    <d v="2026-03-22T00:00:00"/>
    <s v="20/03/2026"/>
    <x v="4"/>
    <x v="0"/>
    <x v="102"/>
    <x v="100"/>
    <x v="5"/>
    <x v="5"/>
    <s v="AKD"/>
    <x v="0"/>
    <x v="2"/>
    <n v="27458"/>
    <n v="47"/>
    <n v="10"/>
    <n v="1100.894"/>
    <n v="83"/>
    <n v="30"/>
    <n v="5"/>
    <s v="A|B|C"/>
    <n v="2"/>
    <n v="5"/>
    <n v="2"/>
    <n v="0"/>
    <n v="0"/>
    <n v="9"/>
  </r>
  <r>
    <d v="2026-03-22T00:00:00"/>
    <s v="20/03/2026"/>
    <x v="4"/>
    <x v="0"/>
    <x v="15"/>
    <x v="14"/>
    <x v="5"/>
    <x v="5"/>
    <s v="AKD"/>
    <x v="0"/>
    <x v="2"/>
    <n v="27458"/>
    <n v="66"/>
    <n v="12"/>
    <n v="1090.8579999999999"/>
    <n v="131.4"/>
    <n v="30"/>
    <n v="6"/>
    <s v="A|B|C"/>
    <n v="5"/>
    <n v="6"/>
    <n v="0"/>
    <n v="0"/>
    <n v="0"/>
    <n v="11"/>
  </r>
  <r>
    <d v="2026-03-22T00:00:00"/>
    <s v="20/03/2026"/>
    <x v="4"/>
    <x v="0"/>
    <x v="18"/>
    <x v="17"/>
    <x v="5"/>
    <x v="5"/>
    <s v="AKD"/>
    <x v="0"/>
    <x v="2"/>
    <n v="27458"/>
    <n v="12"/>
    <n v="2"/>
    <n v="396.642"/>
    <n v="0.2"/>
    <n v="20"/>
    <n v="1"/>
    <s v="A|B|C"/>
    <n v="2"/>
    <n v="0"/>
    <n v="1"/>
    <n v="0"/>
    <n v="0"/>
    <n v="3"/>
  </r>
  <r>
    <d v="2026-03-22T00:00:00"/>
    <s v="20/03/2026"/>
    <x v="4"/>
    <x v="0"/>
    <x v="20"/>
    <x v="19"/>
    <x v="5"/>
    <x v="5"/>
    <s v="AKD"/>
    <x v="3"/>
    <x v="2"/>
    <n v="27458"/>
    <n v="10"/>
    <n v="2"/>
    <n v="330.745"/>
    <n v="0.2"/>
    <n v="60"/>
    <n v="1"/>
    <s v="A|B|C"/>
    <n v="1"/>
    <n v="1"/>
    <n v="0"/>
    <n v="0"/>
    <n v="0"/>
    <n v="2"/>
  </r>
  <r>
    <d v="2026-03-22T00:00:00"/>
    <s v="20/03/2026"/>
    <x v="4"/>
    <x v="0"/>
    <x v="21"/>
    <x v="20"/>
    <x v="5"/>
    <x v="5"/>
    <s v="AKD"/>
    <x v="0"/>
    <x v="2"/>
    <n v="27458"/>
    <n v="20"/>
    <n v="2"/>
    <n v="244.65"/>
    <n v="2.9"/>
    <n v="30"/>
    <n v="1"/>
    <s v="A|B|C"/>
    <n v="1"/>
    <n v="1"/>
    <n v="0"/>
    <n v="0"/>
    <n v="0"/>
    <n v="2"/>
  </r>
  <r>
    <d v="2026-03-22T00:00:00"/>
    <s v="20/03/2026"/>
    <x v="4"/>
    <x v="0"/>
    <x v="94"/>
    <x v="93"/>
    <x v="5"/>
    <x v="5"/>
    <s v="AKD"/>
    <x v="0"/>
    <x v="2"/>
    <n v="27458"/>
    <n v="18"/>
    <n v="4"/>
    <n v="1027.97"/>
    <n v="55.4"/>
    <n v="30"/>
    <n v="2"/>
    <s v="A|B|C"/>
    <n v="3"/>
    <n v="1"/>
    <n v="1"/>
    <n v="0"/>
    <n v="0"/>
    <n v="5"/>
  </r>
  <r>
    <d v="2026-03-22T00:00:00"/>
    <s v="20/03/2026"/>
    <x v="4"/>
    <x v="0"/>
    <x v="46"/>
    <x v="45"/>
    <x v="5"/>
    <x v="5"/>
    <s v="AKD"/>
    <x v="0"/>
    <x v="2"/>
    <n v="27458"/>
    <n v="12"/>
    <n v="2"/>
    <n v="208.15100000000001"/>
    <n v="0.4"/>
    <n v="30"/>
    <n v="1"/>
    <s v="A|B|C"/>
    <n v="1"/>
    <n v="1"/>
    <n v="0"/>
    <n v="0"/>
    <n v="0"/>
    <n v="2"/>
  </r>
  <r>
    <d v="2026-03-22T00:00:00"/>
    <s v="20/03/2026"/>
    <x v="4"/>
    <x v="0"/>
    <x v="118"/>
    <x v="116"/>
    <x v="5"/>
    <x v="5"/>
    <s v="AKD"/>
    <x v="0"/>
    <x v="2"/>
    <n v="27458"/>
    <n v="14"/>
    <n v="2"/>
    <n v="219.52600000000001"/>
    <n v="0.2"/>
    <n v="30"/>
    <n v="1"/>
    <s v="A|B|C"/>
    <n v="1"/>
    <n v="1"/>
    <n v="0"/>
    <n v="0"/>
    <n v="0"/>
    <n v="2"/>
  </r>
  <r>
    <d v="2026-03-22T00:00:00"/>
    <s v="20/03/2026"/>
    <x v="4"/>
    <x v="0"/>
    <x v="24"/>
    <x v="23"/>
    <x v="5"/>
    <x v="5"/>
    <s v="AKD"/>
    <x v="0"/>
    <x v="2"/>
    <n v="27458"/>
    <n v="36"/>
    <n v="6"/>
    <n v="811.85400000000004"/>
    <n v="12.6"/>
    <n v="30"/>
    <n v="3"/>
    <s v="A|B|C"/>
    <n v="3"/>
    <n v="3"/>
    <n v="0"/>
    <n v="0"/>
    <n v="0"/>
    <n v="6"/>
  </r>
  <r>
    <d v="2026-03-22T00:00:00"/>
    <s v="20/03/2026"/>
    <x v="4"/>
    <x v="0"/>
    <x v="27"/>
    <x v="26"/>
    <x v="5"/>
    <x v="5"/>
    <s v="AKD"/>
    <x v="0"/>
    <x v="2"/>
    <n v="27458"/>
    <n v="12"/>
    <n v="2"/>
    <n v="245.95599999999999"/>
    <n v="43.1"/>
    <n v="40"/>
    <n v="1"/>
    <s v="A|B|C"/>
    <n v="2"/>
    <n v="0"/>
    <n v="1"/>
    <n v="0"/>
    <n v="0"/>
    <n v="3"/>
  </r>
  <r>
    <d v="2026-03-22T00:00:00"/>
    <s v="20/03/2026"/>
    <x v="4"/>
    <x v="0"/>
    <x v="104"/>
    <x v="102"/>
    <x v="5"/>
    <x v="5"/>
    <s v="AKD"/>
    <x v="0"/>
    <x v="2"/>
    <n v="27458"/>
    <n v="20"/>
    <n v="4"/>
    <n v="476.96"/>
    <n v="71"/>
    <n v="60"/>
    <n v="2"/>
    <s v="A|B|C"/>
    <n v="2"/>
    <n v="2"/>
    <n v="0"/>
    <n v="0"/>
    <n v="0"/>
    <n v="4"/>
  </r>
  <r>
    <d v="2026-03-22T00:00:00"/>
    <s v="20/03/2026"/>
    <x v="4"/>
    <x v="0"/>
    <x v="105"/>
    <x v="103"/>
    <x v="5"/>
    <x v="5"/>
    <s v="AKD"/>
    <x v="0"/>
    <x v="2"/>
    <n v="27458"/>
    <n v="65"/>
    <n v="10"/>
    <n v="1250.634"/>
    <n v="284.89999999999998"/>
    <n v="30"/>
    <n v="5"/>
    <s v="A|B|C"/>
    <n v="5"/>
    <n v="4"/>
    <n v="1"/>
    <n v="0"/>
    <n v="0"/>
    <n v="10"/>
  </r>
  <r>
    <d v="2026-03-22T00:00:00"/>
    <s v="20/03/2026"/>
    <x v="4"/>
    <x v="8"/>
    <x v="108"/>
    <x v="106"/>
    <x v="5"/>
    <x v="5"/>
    <s v="AKD"/>
    <x v="3"/>
    <x v="2"/>
    <n v="27458"/>
    <n v="44"/>
    <n v="4"/>
    <n v="479.83699999999999"/>
    <n v="30.8"/>
    <n v="30"/>
    <n v="2"/>
    <s v="A|B|C"/>
    <n v="3"/>
    <n v="1"/>
    <n v="1"/>
    <n v="0"/>
    <n v="0"/>
    <n v="5"/>
  </r>
  <r>
    <d v="2026-03-22T00:00:00"/>
    <s v="20/03/2026"/>
    <x v="4"/>
    <x v="8"/>
    <x v="109"/>
    <x v="107"/>
    <x v="5"/>
    <x v="5"/>
    <s v="AKD"/>
    <x v="3"/>
    <x v="2"/>
    <n v="27458"/>
    <n v="24"/>
    <n v="4"/>
    <n v="795.08399999999995"/>
    <n v="0.8"/>
    <n v="60"/>
    <n v="2"/>
    <s v="A|B|C"/>
    <n v="2"/>
    <n v="2"/>
    <n v="0"/>
    <n v="0"/>
    <n v="0"/>
    <n v="4"/>
  </r>
  <r>
    <d v="2026-03-22T00:00:00"/>
    <s v="20/03/2026"/>
    <x v="4"/>
    <x v="3"/>
    <x v="29"/>
    <x v="28"/>
    <x v="5"/>
    <x v="5"/>
    <s v="AKD"/>
    <x v="0"/>
    <x v="2"/>
    <n v="27458"/>
    <n v="35"/>
    <n v="4"/>
    <n v="326.76400000000001"/>
    <n v="0.8"/>
    <n v="25"/>
    <n v="2"/>
    <s v="A|B|C"/>
    <n v="2"/>
    <n v="1"/>
    <n v="1"/>
    <n v="0"/>
    <n v="0"/>
    <n v="4"/>
  </r>
  <r>
    <d v="2026-03-22T00:00:00"/>
    <s v="20/03/2026"/>
    <x v="4"/>
    <x v="3"/>
    <x v="110"/>
    <x v="108"/>
    <x v="5"/>
    <x v="5"/>
    <s v="AKD"/>
    <x v="0"/>
    <x v="2"/>
    <n v="27458"/>
    <n v="50"/>
    <n v="12"/>
    <n v="1011.105"/>
    <n v="270.89999999999998"/>
    <n v="30"/>
    <n v="6"/>
    <s v="A|B|C"/>
    <n v="3"/>
    <n v="6"/>
    <n v="2"/>
    <n v="0"/>
    <n v="0"/>
    <n v="11"/>
  </r>
  <r>
    <d v="2026-03-22T00:00:00"/>
    <s v="20/03/2026"/>
    <x v="4"/>
    <x v="3"/>
    <x v="111"/>
    <x v="109"/>
    <x v="5"/>
    <x v="5"/>
    <s v="AKD"/>
    <x v="0"/>
    <x v="2"/>
    <n v="27458"/>
    <n v="53"/>
    <n v="6"/>
    <n v="465.6"/>
    <n v="95.3"/>
    <n v="15"/>
    <n v="3"/>
    <s v="A|B|C"/>
    <n v="2"/>
    <n v="2"/>
    <n v="2"/>
    <n v="0"/>
    <n v="0"/>
    <n v="6"/>
  </r>
  <r>
    <d v="2026-03-22T00:00:00"/>
    <s v="20/03/2026"/>
    <x v="4"/>
    <x v="3"/>
    <x v="112"/>
    <x v="110"/>
    <x v="5"/>
    <x v="5"/>
    <s v="AKD"/>
    <x v="3"/>
    <x v="2"/>
    <n v="27458"/>
    <n v="33"/>
    <n v="2"/>
    <n v="136.22800000000001"/>
    <n v="8.1999999999999993"/>
    <n v="20"/>
    <n v="1"/>
    <s v="A|B|C"/>
    <n v="1"/>
    <n v="1"/>
    <n v="0"/>
    <n v="0"/>
    <n v="0"/>
    <n v="2"/>
  </r>
  <r>
    <d v="2026-03-22T00:00:00"/>
    <s v="20/03/2026"/>
    <x v="4"/>
    <x v="3"/>
    <x v="42"/>
    <x v="41"/>
    <x v="5"/>
    <x v="5"/>
    <s v="AKD"/>
    <x v="0"/>
    <x v="2"/>
    <n v="27458"/>
    <n v="20"/>
    <n v="2"/>
    <n v="133.22"/>
    <n v="0.4"/>
    <n v="30"/>
    <n v="1"/>
    <s v="A|B|C"/>
    <n v="1"/>
    <n v="1"/>
    <n v="0"/>
    <n v="0"/>
    <n v="0"/>
    <n v="2"/>
  </r>
  <r>
    <d v="2026-03-23T00:00:00"/>
    <s v="20/03/2026"/>
    <x v="4"/>
    <x v="3"/>
    <x v="114"/>
    <x v="112"/>
    <x v="5"/>
    <x v="5"/>
    <s v="AKD"/>
    <x v="0"/>
    <x v="2"/>
    <n v="27458"/>
    <n v="40"/>
    <n v="8"/>
    <n v="560.48"/>
    <n v="142"/>
    <n v="20"/>
    <n v="4"/>
    <s v="A|B|C"/>
    <n v="3"/>
    <n v="3"/>
    <n v="2"/>
    <n v="0"/>
    <n v="0"/>
    <n v="8"/>
  </r>
  <r>
    <d v="2026-03-23T00:00:00"/>
    <s v="20/03/2026"/>
    <x v="4"/>
    <x v="1"/>
    <x v="115"/>
    <x v="113"/>
    <x v="5"/>
    <x v="5"/>
    <s v="AKD"/>
    <x v="0"/>
    <x v="2"/>
    <n v="27458"/>
    <n v="42"/>
    <n v="8"/>
    <n v="971.73299999999995"/>
    <n v="130"/>
    <n v="20"/>
    <n v="2"/>
    <s v="A|B|C"/>
    <n v="3"/>
    <n v="4"/>
    <n v="1"/>
    <n v="0"/>
    <n v="0"/>
    <n v="8"/>
  </r>
  <r>
    <d v="2026-03-23T00:00:00"/>
    <s v="20/03/2026"/>
    <x v="4"/>
    <x v="1"/>
    <x v="117"/>
    <x v="115"/>
    <x v="5"/>
    <x v="5"/>
    <s v="AKD"/>
    <x v="0"/>
    <x v="2"/>
    <n v="27458"/>
    <n v="26"/>
    <n v="6"/>
    <n v="754.923"/>
    <n v="96.8"/>
    <n v="25"/>
    <n v="5"/>
    <s v="A|B|C"/>
    <n v="3"/>
    <n v="3"/>
    <n v="0"/>
    <n v="0"/>
    <n v="0"/>
    <n v="6"/>
  </r>
  <r>
    <d v="2026-03-23T00:00:00"/>
    <s v="20/03/2026"/>
    <x v="4"/>
    <x v="1"/>
    <x v="95"/>
    <x v="94"/>
    <x v="5"/>
    <x v="5"/>
    <s v="AKD"/>
    <x v="0"/>
    <x v="2"/>
    <n v="27458"/>
    <n v="20"/>
    <n v="4"/>
    <n v="1344.046"/>
    <n v="0.4"/>
    <n v="30"/>
    <n v="2"/>
    <s v="A|B|C"/>
    <n v="2"/>
    <n v="2"/>
    <n v="0"/>
    <n v="0"/>
    <n v="0"/>
    <n v="4"/>
  </r>
  <r>
    <d v="2026-03-23T00:00:00"/>
    <s v="20/03/2026"/>
    <x v="4"/>
    <x v="0"/>
    <x v="96"/>
    <x v="95"/>
    <x v="5"/>
    <x v="5"/>
    <s v="AKD"/>
    <x v="5"/>
    <x v="3"/>
    <n v="27459"/>
    <n v="32"/>
    <n v="4"/>
    <n v="252.13200000000001"/>
    <n v="11.4"/>
    <n v="20"/>
    <n v="2"/>
    <s v="A|B|C"/>
    <n v="2"/>
    <n v="2"/>
    <n v="0"/>
    <n v="0"/>
    <n v="0"/>
    <n v="4"/>
  </r>
  <r>
    <d v="2026-03-23T00:00:00"/>
    <s v="20/03/2026"/>
    <x v="4"/>
    <x v="0"/>
    <x v="97"/>
    <x v="96"/>
    <x v="5"/>
    <x v="5"/>
    <s v="AKD"/>
    <x v="5"/>
    <x v="3"/>
    <n v="27459"/>
    <n v="14"/>
    <n v="2"/>
    <n v="355.18400000000003"/>
    <n v="0.2"/>
    <n v="25"/>
    <n v="1"/>
    <s v="A|B|C"/>
    <n v="1"/>
    <n v="1"/>
    <n v="1"/>
    <n v="0"/>
    <n v="0"/>
    <n v="3"/>
  </r>
  <r>
    <d v="2026-03-23T00:00:00"/>
    <s v="20/03/2026"/>
    <x v="4"/>
    <x v="0"/>
    <x v="98"/>
    <x v="2"/>
    <x v="5"/>
    <x v="5"/>
    <s v="AKD"/>
    <x v="0"/>
    <x v="3"/>
    <n v="27459"/>
    <n v="96"/>
    <n v="46"/>
    <n v="2242.7440000000001"/>
    <n v="795.8"/>
    <n v="15"/>
    <n v="17"/>
    <s v="A|B|C"/>
    <n v="17"/>
    <n v="10"/>
    <n v="4"/>
    <n v="0"/>
    <n v="0"/>
    <n v="31"/>
  </r>
  <r>
    <d v="2026-03-23T00:00:00"/>
    <s v="20/03/2026"/>
    <x v="4"/>
    <x v="1"/>
    <x v="2"/>
    <x v="2"/>
    <x v="5"/>
    <x v="5"/>
    <s v="AKD"/>
    <x v="0"/>
    <x v="3"/>
    <n v="27459"/>
    <n v="87"/>
    <n v="22"/>
    <n v="1937.04"/>
    <n v="361.5"/>
    <n v="25"/>
    <n v="10"/>
    <s v="A|B|C"/>
    <n v="10"/>
    <n v="10"/>
    <n v="1"/>
    <n v="0"/>
    <n v="0"/>
    <n v="21"/>
  </r>
  <r>
    <d v="2026-03-23T00:00:00"/>
    <s v="20/03/2026"/>
    <x v="4"/>
    <x v="0"/>
    <x v="5"/>
    <x v="4"/>
    <x v="5"/>
    <x v="5"/>
    <s v="AKD"/>
    <x v="1"/>
    <x v="3"/>
    <n v="27459"/>
    <n v="8"/>
    <n v="2"/>
    <n v="196.50800000000001"/>
    <n v="2.9"/>
    <n v="200"/>
    <n v="1"/>
    <s v="A|B|C"/>
    <n v="1"/>
    <n v="1"/>
    <n v="0"/>
    <n v="0"/>
    <n v="0"/>
    <n v="2"/>
  </r>
  <r>
    <d v="2026-03-23T00:00:00"/>
    <s v="20/03/2026"/>
    <x v="4"/>
    <x v="0"/>
    <x v="6"/>
    <x v="5"/>
    <x v="5"/>
    <x v="5"/>
    <s v="AKD"/>
    <x v="0"/>
    <x v="3"/>
    <n v="27459"/>
    <n v="16"/>
    <n v="8"/>
    <n v="738.42399999999998"/>
    <n v="84.6"/>
    <n v="0"/>
    <n v="4"/>
    <s v="A|B|C"/>
    <n v="4"/>
    <n v="0"/>
    <n v="0"/>
    <n v="0"/>
    <n v="0"/>
    <n v="4"/>
  </r>
  <r>
    <d v="2026-03-23T00:00:00"/>
    <s v="20/03/2026"/>
    <x v="4"/>
    <x v="0"/>
    <x v="7"/>
    <x v="6"/>
    <x v="5"/>
    <x v="5"/>
    <s v="AKD"/>
    <x v="0"/>
    <x v="3"/>
    <n v="27459"/>
    <n v="16"/>
    <n v="8"/>
    <n v="734.75400000000002"/>
    <n v="100"/>
    <n v="30"/>
    <n v="0"/>
    <s v="A|B|C"/>
    <n v="0"/>
    <n v="4"/>
    <n v="4"/>
    <n v="0"/>
    <n v="0"/>
    <n v="8"/>
  </r>
  <r>
    <d v="2026-03-23T00:00:00"/>
    <s v="20/03/2026"/>
    <x v="4"/>
    <x v="0"/>
    <x v="8"/>
    <x v="7"/>
    <x v="5"/>
    <x v="5"/>
    <s v="AKD"/>
    <x v="0"/>
    <x v="3"/>
    <n v="27459"/>
    <n v="42"/>
    <n v="10"/>
    <n v="631.22500000000002"/>
    <n v="170.3"/>
    <n v="20"/>
    <n v="4"/>
    <s v="A|B|C"/>
    <n v="4"/>
    <n v="2"/>
    <n v="1"/>
    <n v="0"/>
    <n v="0"/>
    <n v="7"/>
  </r>
  <r>
    <d v="2026-03-23T00:00:00"/>
    <s v="20/03/2026"/>
    <x v="4"/>
    <x v="0"/>
    <x v="99"/>
    <x v="97"/>
    <x v="5"/>
    <x v="5"/>
    <s v="AKD"/>
    <x v="5"/>
    <x v="3"/>
    <n v="27459"/>
    <n v="48"/>
    <n v="8"/>
    <n v="959.76"/>
    <n v="0.8"/>
    <n v="25"/>
    <n v="4"/>
    <s v="A|B|C"/>
    <n v="4"/>
    <n v="4"/>
    <n v="1"/>
    <n v="0"/>
    <n v="0"/>
    <n v="9"/>
  </r>
  <r>
    <d v="2026-03-23T00:00:00"/>
    <s v="20/03/2026"/>
    <x v="4"/>
    <x v="0"/>
    <x v="100"/>
    <x v="98"/>
    <x v="5"/>
    <x v="5"/>
    <s v="AKD"/>
    <x v="0"/>
    <x v="3"/>
    <n v="27459"/>
    <n v="62"/>
    <n v="16"/>
    <n v="1903.39"/>
    <n v="285.5"/>
    <n v="15"/>
    <n v="7"/>
    <s v="A|B|C"/>
    <n v="6"/>
    <n v="6"/>
    <n v="1"/>
    <n v="0"/>
    <n v="0"/>
    <n v="13"/>
  </r>
  <r>
    <d v="2026-03-23T00:00:00"/>
    <s v="20/03/2026"/>
    <x v="4"/>
    <x v="0"/>
    <x v="101"/>
    <x v="99"/>
    <x v="5"/>
    <x v="5"/>
    <s v="AKD"/>
    <x v="0"/>
    <x v="3"/>
    <n v="27459"/>
    <n v="40"/>
    <n v="8"/>
    <n v="1120.579"/>
    <n v="110.9"/>
    <n v="25"/>
    <n v="4"/>
    <s v="A|B|C"/>
    <n v="4"/>
    <n v="4"/>
    <n v="0"/>
    <n v="0"/>
    <n v="0"/>
    <n v="8"/>
  </r>
  <r>
    <d v="2026-03-23T00:00:00"/>
    <s v="20/03/2026"/>
    <x v="4"/>
    <x v="0"/>
    <x v="102"/>
    <x v="100"/>
    <x v="5"/>
    <x v="5"/>
    <s v="AKD"/>
    <x v="0"/>
    <x v="3"/>
    <n v="27459"/>
    <n v="51"/>
    <n v="10"/>
    <n v="1198.182"/>
    <n v="81.599999999999994"/>
    <n v="30"/>
    <n v="5"/>
    <s v="A|B|C"/>
    <n v="4"/>
    <n v="5"/>
    <n v="0"/>
    <n v="0"/>
    <n v="0"/>
    <n v="9"/>
  </r>
  <r>
    <d v="2026-03-23T00:00:00"/>
    <s v="20/03/2026"/>
    <x v="4"/>
    <x v="0"/>
    <x v="15"/>
    <x v="14"/>
    <x v="5"/>
    <x v="5"/>
    <s v="AKD"/>
    <x v="0"/>
    <x v="3"/>
    <n v="27459"/>
    <n v="77"/>
    <n v="16"/>
    <n v="1272.7560000000001"/>
    <n v="180.4"/>
    <n v="20"/>
    <n v="8"/>
    <s v="A|B|C"/>
    <n v="8"/>
    <n v="8"/>
    <n v="0"/>
    <n v="0"/>
    <n v="0"/>
    <n v="16"/>
  </r>
  <r>
    <d v="2026-03-23T00:00:00"/>
    <s v="20/03/2026"/>
    <x v="4"/>
    <x v="0"/>
    <x v="18"/>
    <x v="17"/>
    <x v="5"/>
    <x v="5"/>
    <s v="AKD"/>
    <x v="0"/>
    <x v="3"/>
    <n v="27459"/>
    <n v="24"/>
    <n v="6"/>
    <n v="793.28399999999999"/>
    <n v="0.6"/>
    <n v="20"/>
    <n v="3"/>
    <s v="A|B|C"/>
    <n v="3"/>
    <n v="3"/>
    <n v="0"/>
    <n v="0"/>
    <n v="0"/>
    <n v="6"/>
  </r>
  <r>
    <d v="2026-03-23T00:00:00"/>
    <s v="20/03/2026"/>
    <x v="4"/>
    <x v="0"/>
    <x v="20"/>
    <x v="19"/>
    <x v="5"/>
    <x v="5"/>
    <s v="AKD"/>
    <x v="3"/>
    <x v="3"/>
    <n v="27459"/>
    <n v="8"/>
    <n v="2"/>
    <n v="264.596"/>
    <n v="0.2"/>
    <n v="145"/>
    <n v="1"/>
    <s v="A|B|C"/>
    <n v="1"/>
    <n v="1"/>
    <n v="0"/>
    <n v="0"/>
    <n v="0"/>
    <n v="2"/>
  </r>
  <r>
    <d v="2026-03-23T00:00:00"/>
    <s v="20/03/2026"/>
    <x v="4"/>
    <x v="0"/>
    <x v="21"/>
    <x v="20"/>
    <x v="5"/>
    <x v="5"/>
    <s v="AKD"/>
    <x v="0"/>
    <x v="3"/>
    <n v="27459"/>
    <n v="26"/>
    <n v="6"/>
    <n v="318.04500000000002"/>
    <n v="19.8"/>
    <n v="20"/>
    <n v="2"/>
    <s v="A|B|C"/>
    <n v="2"/>
    <n v="2"/>
    <n v="0"/>
    <n v="0"/>
    <n v="0"/>
    <n v="4"/>
  </r>
  <r>
    <d v="2026-03-23T00:00:00"/>
    <s v="20/03/2026"/>
    <x v="4"/>
    <x v="0"/>
    <x v="46"/>
    <x v="45"/>
    <x v="5"/>
    <x v="5"/>
    <s v="AKD"/>
    <x v="0"/>
    <x v="3"/>
    <n v="27459"/>
    <n v="10"/>
    <n v="2"/>
    <n v="173.459"/>
    <n v="0.4"/>
    <n v="120"/>
    <n v="1"/>
    <s v="A|B|C"/>
    <n v="1"/>
    <n v="1"/>
    <n v="0"/>
    <n v="0"/>
    <n v="0"/>
    <n v="2"/>
  </r>
  <r>
    <d v="2026-03-23T00:00:00"/>
    <s v="20/03/2026"/>
    <x v="4"/>
    <x v="0"/>
    <x v="103"/>
    <x v="101"/>
    <x v="5"/>
    <x v="5"/>
    <s v="AKD"/>
    <x v="0"/>
    <x v="3"/>
    <n v="27459"/>
    <n v="12"/>
    <n v="2"/>
    <n v="261.56200000000001"/>
    <n v="0.2"/>
    <n v="25"/>
    <n v="1"/>
    <s v="A|B|C"/>
    <n v="1"/>
    <n v="1"/>
    <n v="0"/>
    <n v="0"/>
    <n v="0"/>
    <n v="2"/>
  </r>
  <r>
    <d v="2026-03-23T00:00:00"/>
    <s v="20/03/2026"/>
    <x v="4"/>
    <x v="0"/>
    <x v="24"/>
    <x v="23"/>
    <x v="5"/>
    <x v="5"/>
    <s v="AKD"/>
    <x v="0"/>
    <x v="3"/>
    <n v="27459"/>
    <n v="40"/>
    <n v="8"/>
    <n v="902.06"/>
    <n v="16.8"/>
    <n v="30"/>
    <n v="4"/>
    <s v="A|B|C"/>
    <n v="4"/>
    <n v="4"/>
    <n v="0"/>
    <n v="0"/>
    <n v="0"/>
    <n v="8"/>
  </r>
  <r>
    <d v="2026-03-23T00:00:00"/>
    <s v="20/03/2026"/>
    <x v="4"/>
    <x v="0"/>
    <x v="27"/>
    <x v="26"/>
    <x v="5"/>
    <x v="5"/>
    <s v="AKD"/>
    <x v="0"/>
    <x v="3"/>
    <n v="27459"/>
    <n v="30"/>
    <n v="6"/>
    <n v="614.89"/>
    <n v="129.30000000000001"/>
    <n v="30"/>
    <n v="3"/>
    <s v="A|B|C"/>
    <n v="3"/>
    <n v="3"/>
    <n v="0"/>
    <n v="0"/>
    <n v="0"/>
    <n v="6"/>
  </r>
  <r>
    <d v="2026-03-23T00:00:00"/>
    <s v="20/03/2026"/>
    <x v="4"/>
    <x v="0"/>
    <x v="104"/>
    <x v="102"/>
    <x v="5"/>
    <x v="5"/>
    <s v="AKD"/>
    <x v="0"/>
    <x v="3"/>
    <n v="27459"/>
    <n v="73"/>
    <n v="22"/>
    <n v="1739.6759999999999"/>
    <n v="480.2"/>
    <n v="20"/>
    <n v="9"/>
    <s v="A|B|C"/>
    <n v="7"/>
    <n v="9"/>
    <n v="2"/>
    <n v="0"/>
    <n v="0"/>
    <n v="18"/>
  </r>
  <r>
    <d v="2026-03-23T00:00:00"/>
    <s v="20/03/2026"/>
    <x v="4"/>
    <x v="0"/>
    <x v="105"/>
    <x v="103"/>
    <x v="5"/>
    <x v="5"/>
    <s v="AKD"/>
    <x v="0"/>
    <x v="3"/>
    <n v="27459"/>
    <n v="64"/>
    <n v="12"/>
    <n v="1231.0719999999999"/>
    <n v="346.2"/>
    <n v="25"/>
    <n v="6"/>
    <s v="A|B|C"/>
    <n v="6"/>
    <n v="5"/>
    <n v="1"/>
    <n v="0"/>
    <n v="0"/>
    <n v="12"/>
  </r>
  <r>
    <d v="2026-03-23T00:00:00"/>
    <s v="20/03/2026"/>
    <x v="4"/>
    <x v="8"/>
    <x v="119"/>
    <x v="117"/>
    <x v="5"/>
    <x v="5"/>
    <s v="AKD"/>
    <x v="3"/>
    <x v="3"/>
    <n v="27459"/>
    <n v="15"/>
    <n v="2"/>
    <n v="216.333"/>
    <n v="15.4"/>
    <n v="60"/>
    <n v="1"/>
    <s v="A|B|C"/>
    <n v="1"/>
    <n v="1"/>
    <n v="0"/>
    <n v="0"/>
    <n v="0"/>
    <n v="2"/>
  </r>
  <r>
    <d v="2026-03-23T00:00:00"/>
    <s v="20/03/2026"/>
    <x v="4"/>
    <x v="8"/>
    <x v="107"/>
    <x v="105"/>
    <x v="5"/>
    <x v="5"/>
    <s v="AKD"/>
    <x v="3"/>
    <x v="3"/>
    <n v="27459"/>
    <n v="13"/>
    <n v="2"/>
    <n v="194.01"/>
    <n v="13.2"/>
    <n v="30"/>
    <n v="1"/>
    <s v="A|B|C"/>
    <n v="1"/>
    <n v="1"/>
    <n v="0"/>
    <n v="0"/>
    <n v="0"/>
    <n v="2"/>
  </r>
  <r>
    <d v="2026-03-23T00:00:00"/>
    <s v="20/03/2026"/>
    <x v="4"/>
    <x v="8"/>
    <x v="108"/>
    <x v="106"/>
    <x v="5"/>
    <x v="5"/>
    <s v="AKD"/>
    <x v="3"/>
    <x v="3"/>
    <n v="27459"/>
    <n v="19"/>
    <n v="2"/>
    <n v="207.16900000000001"/>
    <n v="15.4"/>
    <n v="30"/>
    <n v="1"/>
    <s v="A|B|C"/>
    <n v="2"/>
    <n v="0"/>
    <n v="1"/>
    <n v="0"/>
    <n v="0"/>
    <n v="3"/>
  </r>
  <r>
    <d v="2026-03-23T00:00:00"/>
    <s v="20/03/2026"/>
    <x v="4"/>
    <x v="8"/>
    <x v="109"/>
    <x v="107"/>
    <x v="5"/>
    <x v="5"/>
    <s v="AKD"/>
    <x v="3"/>
    <x v="3"/>
    <n v="27459"/>
    <n v="22"/>
    <n v="4"/>
    <n v="728.827"/>
    <n v="0.8"/>
    <n v="20"/>
    <n v="2"/>
    <s v="A|B|C"/>
    <n v="3"/>
    <n v="1"/>
    <n v="1"/>
    <n v="0"/>
    <n v="0"/>
    <n v="5"/>
  </r>
  <r>
    <d v="2026-03-23T00:00:00"/>
    <s v="20/03/2026"/>
    <x v="4"/>
    <x v="3"/>
    <x v="29"/>
    <x v="28"/>
    <x v="5"/>
    <x v="5"/>
    <s v="AKD"/>
    <x v="0"/>
    <x v="3"/>
    <n v="27459"/>
    <n v="46"/>
    <n v="6"/>
    <n v="429.46100000000001"/>
    <n v="1.2"/>
    <n v="25"/>
    <n v="3"/>
    <s v="A|B|C"/>
    <n v="4"/>
    <n v="2"/>
    <n v="1"/>
    <n v="0"/>
    <n v="0"/>
    <n v="7"/>
  </r>
  <r>
    <d v="2026-03-23T00:00:00"/>
    <s v="20/03/2026"/>
    <x v="4"/>
    <x v="3"/>
    <x v="110"/>
    <x v="108"/>
    <x v="5"/>
    <x v="5"/>
    <s v="AKD"/>
    <x v="0"/>
    <x v="3"/>
    <n v="27459"/>
    <n v="101"/>
    <n v="26"/>
    <n v="2043.5889999999999"/>
    <n v="439.3"/>
    <n v="20"/>
    <n v="9"/>
    <s v="A|B|C"/>
    <n v="11"/>
    <n v="5"/>
    <n v="4"/>
    <n v="0"/>
    <n v="0"/>
    <n v="20"/>
  </r>
  <r>
    <d v="2026-03-23T00:00:00"/>
    <s v="20/03/2026"/>
    <x v="4"/>
    <x v="3"/>
    <x v="111"/>
    <x v="109"/>
    <x v="5"/>
    <x v="5"/>
    <s v="AKD"/>
    <x v="0"/>
    <x v="3"/>
    <n v="27459"/>
    <n v="91"/>
    <n v="14"/>
    <n v="799.42600000000004"/>
    <n v="221.21"/>
    <n v="10"/>
    <n v="5"/>
    <s v="A|B|C"/>
    <n v="5"/>
    <n v="5"/>
    <n v="0"/>
    <n v="0"/>
    <n v="0"/>
    <n v="10"/>
  </r>
  <r>
    <d v="2026-03-23T00:00:00"/>
    <s v="20/03/2026"/>
    <x v="4"/>
    <x v="3"/>
    <x v="42"/>
    <x v="41"/>
    <x v="5"/>
    <x v="5"/>
    <s v="AKD"/>
    <x v="0"/>
    <x v="3"/>
    <n v="27459"/>
    <n v="38"/>
    <n v="4"/>
    <n v="253.11799999999999"/>
    <n v="0.8"/>
    <n v="20"/>
    <n v="2"/>
    <s v="A|B|C"/>
    <n v="2"/>
    <n v="2"/>
    <n v="0"/>
    <n v="0"/>
    <n v="0"/>
    <n v="4"/>
  </r>
  <r>
    <d v="2026-03-23T00:00:00"/>
    <s v="20/03/2026"/>
    <x v="4"/>
    <x v="3"/>
    <x v="114"/>
    <x v="112"/>
    <x v="5"/>
    <x v="5"/>
    <s v="AKD"/>
    <x v="0"/>
    <x v="3"/>
    <n v="27459"/>
    <n v="47"/>
    <n v="12"/>
    <n v="658.56399999999996"/>
    <n v="182.5"/>
    <n v="20"/>
    <n v="5"/>
    <s v="A|B|C"/>
    <n v="4"/>
    <n v="3"/>
    <n v="2"/>
    <n v="0"/>
    <n v="0"/>
    <n v="9"/>
  </r>
  <r>
    <d v="2026-03-23T00:00:00"/>
    <s v="20/03/2026"/>
    <x v="4"/>
    <x v="1"/>
    <x v="115"/>
    <x v="113"/>
    <x v="5"/>
    <x v="5"/>
    <s v="AKD"/>
    <x v="0"/>
    <x v="3"/>
    <n v="27459"/>
    <n v="38"/>
    <n v="10"/>
    <n v="879.18700000000001"/>
    <n v="162.19999999999999"/>
    <n v="15"/>
    <n v="4"/>
    <s v="A|B|C"/>
    <n v="6"/>
    <n v="5"/>
    <n v="1"/>
    <n v="0"/>
    <n v="0"/>
    <n v="12"/>
  </r>
  <r>
    <d v="2026-03-23T00:00:00"/>
    <s v="20/03/2026"/>
    <x v="4"/>
    <x v="1"/>
    <x v="116"/>
    <x v="114"/>
    <x v="5"/>
    <x v="5"/>
    <s v="AKD"/>
    <x v="0"/>
    <x v="3"/>
    <n v="27459"/>
    <n v="51"/>
    <n v="46"/>
    <n v="1770.7190000000001"/>
    <n v="578.1"/>
    <n v="10"/>
    <n v="11"/>
    <s v="A|B|C"/>
    <n v="11"/>
    <n v="7"/>
    <n v="5"/>
    <n v="0"/>
    <n v="0"/>
    <n v="23"/>
  </r>
  <r>
    <d v="2026-03-23T00:00:00"/>
    <s v="20/03/2026"/>
    <x v="4"/>
    <x v="1"/>
    <x v="117"/>
    <x v="115"/>
    <x v="5"/>
    <x v="5"/>
    <s v="AKD"/>
    <x v="0"/>
    <x v="3"/>
    <n v="27459"/>
    <n v="12"/>
    <n v="4"/>
    <n v="348.42599999999999"/>
    <n v="64.599999999999994"/>
    <n v="30"/>
    <n v="3"/>
    <s v="A|B|C"/>
    <n v="0"/>
    <n v="1"/>
    <n v="0"/>
    <n v="0"/>
    <n v="0"/>
    <n v="1"/>
  </r>
  <r>
    <d v="2026-03-23T00:00:00"/>
    <s v="20/03/2026"/>
    <x v="5"/>
    <x v="0"/>
    <x v="120"/>
    <x v="118"/>
    <x v="3"/>
    <x v="3"/>
    <m/>
    <x v="5"/>
    <x v="0"/>
    <n v="27453"/>
    <n v="105"/>
    <n v="28"/>
    <n v="1798.665"/>
    <n v="167.6"/>
    <n v="15"/>
    <n v="10"/>
    <s v="A|B|C"/>
    <n v="10"/>
    <n v="8"/>
    <n v="2"/>
    <n v="0"/>
    <n v="0"/>
    <n v="20"/>
  </r>
  <r>
    <d v="2026-03-24T00:00:00"/>
    <s v="20/03/2026"/>
    <x v="5"/>
    <x v="0"/>
    <x v="121"/>
    <x v="119"/>
    <x v="3"/>
    <x v="3"/>
    <m/>
    <x v="5"/>
    <x v="0"/>
    <n v="27453"/>
    <n v="140"/>
    <n v="14"/>
    <n v="1653.335"/>
    <n v="229.9"/>
    <n v="17"/>
    <n v="7"/>
    <s v="A|B|C"/>
    <n v="11"/>
    <n v="3"/>
    <n v="4"/>
    <n v="0"/>
    <n v="0"/>
    <n v="18"/>
  </r>
  <r>
    <d v="2026-03-24T00:00:00"/>
    <s v="20/03/2026"/>
    <x v="5"/>
    <x v="0"/>
    <x v="97"/>
    <x v="96"/>
    <x v="3"/>
    <x v="3"/>
    <m/>
    <x v="5"/>
    <x v="0"/>
    <n v="27453"/>
    <n v="54"/>
    <n v="8"/>
    <n v="1369.9960000000001"/>
    <n v="78.3"/>
    <n v="25"/>
    <n v="4"/>
    <s v="A|B|C"/>
    <n v="5"/>
    <n v="3"/>
    <n v="1"/>
    <n v="0"/>
    <n v="0"/>
    <n v="9"/>
  </r>
  <r>
    <d v="2026-03-24T00:00:00"/>
    <s v="20/03/2026"/>
    <x v="5"/>
    <x v="6"/>
    <x v="122"/>
    <x v="120"/>
    <x v="3"/>
    <x v="3"/>
    <m/>
    <x v="5"/>
    <x v="0"/>
    <n v="27453"/>
    <n v="46"/>
    <n v="6"/>
    <n v="521.64"/>
    <n v="38.4"/>
    <n v="30"/>
    <n v="3"/>
    <s v="A|B|C"/>
    <n v="3"/>
    <n v="3"/>
    <n v="0"/>
    <n v="0"/>
    <n v="0"/>
    <n v="6"/>
  </r>
  <r>
    <d v="2026-03-24T00:00:00"/>
    <s v="20/03/2026"/>
    <x v="5"/>
    <x v="0"/>
    <x v="123"/>
    <x v="121"/>
    <x v="3"/>
    <x v="3"/>
    <m/>
    <x v="5"/>
    <x v="0"/>
    <n v="27453"/>
    <n v="72"/>
    <n v="2"/>
    <n v="215.49600000000001"/>
    <n v="10.3"/>
    <n v="30"/>
    <n v="1"/>
    <s v="A|B|C"/>
    <n v="1"/>
    <n v="1"/>
    <n v="0"/>
    <n v="0"/>
    <n v="0"/>
    <n v="2"/>
  </r>
  <r>
    <d v="2026-03-24T00:00:00"/>
    <s v="20/03/2026"/>
    <x v="5"/>
    <x v="0"/>
    <x v="124"/>
    <x v="122"/>
    <x v="3"/>
    <x v="3"/>
    <m/>
    <x v="5"/>
    <x v="0"/>
    <n v="27453"/>
    <n v="81"/>
    <n v="16"/>
    <n v="2281.2750000000001"/>
    <n v="145.5"/>
    <n v="25"/>
    <n v="8"/>
    <s v="A|B|C"/>
    <n v="10"/>
    <n v="6"/>
    <n v="3"/>
    <n v="0"/>
    <n v="0"/>
    <n v="19"/>
  </r>
  <r>
    <d v="2026-03-24T00:00:00"/>
    <s v="20/03/2026"/>
    <x v="5"/>
    <x v="0"/>
    <x v="125"/>
    <x v="123"/>
    <x v="3"/>
    <x v="3"/>
    <m/>
    <x v="0"/>
    <x v="0"/>
    <n v="27453"/>
    <n v="52"/>
    <n v="8"/>
    <n v="685.12599999999998"/>
    <n v="0.8"/>
    <n v="20"/>
    <n v="4"/>
    <s v="A|B|C"/>
    <n v="4"/>
    <n v="3"/>
    <n v="1"/>
    <n v="0"/>
    <n v="0"/>
    <n v="8"/>
  </r>
  <r>
    <d v="2026-03-24T00:00:00"/>
    <s v="20/03/2026"/>
    <x v="5"/>
    <x v="0"/>
    <x v="126"/>
    <x v="124"/>
    <x v="3"/>
    <x v="3"/>
    <m/>
    <x v="5"/>
    <x v="0"/>
    <n v="27453"/>
    <n v="94"/>
    <n v="26"/>
    <n v="2212.4250000000002"/>
    <n v="238.5"/>
    <n v="15"/>
    <n v="13"/>
    <s v="A|B|C"/>
    <n v="8"/>
    <n v="12"/>
    <n v="1"/>
    <n v="0"/>
    <n v="0"/>
    <n v="21"/>
  </r>
  <r>
    <d v="2026-03-24T00:00:00"/>
    <s v="20/03/2026"/>
    <x v="5"/>
    <x v="0"/>
    <x v="127"/>
    <x v="125"/>
    <x v="3"/>
    <x v="3"/>
    <m/>
    <x v="5"/>
    <x v="0"/>
    <n v="27453"/>
    <n v="52"/>
    <n v="16"/>
    <n v="1028.82"/>
    <n v="176.7"/>
    <n v="0"/>
    <n v="5"/>
    <s v="A|B|C"/>
    <n v="3"/>
    <n v="3"/>
    <n v="1"/>
    <n v="0"/>
    <n v="0"/>
    <n v="7"/>
  </r>
  <r>
    <d v="2026-03-24T00:00:00"/>
    <s v="20/03/2026"/>
    <x v="5"/>
    <x v="0"/>
    <x v="128"/>
    <x v="122"/>
    <x v="3"/>
    <x v="3"/>
    <m/>
    <x v="0"/>
    <x v="0"/>
    <n v="27453"/>
    <n v="52"/>
    <n v="16"/>
    <n v="1301.7159999999999"/>
    <n v="198.5"/>
    <n v="15"/>
    <n v="8"/>
    <s v="A|B|C"/>
    <n v="8"/>
    <n v="7"/>
    <n v="3"/>
    <n v="0"/>
    <n v="0"/>
    <n v="18"/>
  </r>
  <r>
    <d v="2026-03-24T00:00:00"/>
    <s v="20/03/2026"/>
    <x v="5"/>
    <x v="0"/>
    <x v="129"/>
    <x v="126"/>
    <x v="3"/>
    <x v="3"/>
    <m/>
    <x v="0"/>
    <x v="0"/>
    <n v="27453"/>
    <n v="29"/>
    <n v="6"/>
    <n v="681.85400000000004"/>
    <n v="0.6"/>
    <n v="30"/>
    <n v="3"/>
    <s v="A|B|C"/>
    <n v="3"/>
    <n v="3"/>
    <n v="0"/>
    <n v="0"/>
    <n v="0"/>
    <n v="6"/>
  </r>
  <r>
    <d v="2026-03-24T00:00:00"/>
    <s v="20/03/2026"/>
    <x v="5"/>
    <x v="0"/>
    <x v="99"/>
    <x v="97"/>
    <x v="3"/>
    <x v="3"/>
    <m/>
    <x v="5"/>
    <x v="0"/>
    <n v="27453"/>
    <n v="12"/>
    <n v="4"/>
    <n v="239.94"/>
    <n v="99.6"/>
    <n v="60"/>
    <n v="2"/>
    <s v="A|B|C"/>
    <n v="1"/>
    <n v="0"/>
    <n v="2"/>
    <n v="0"/>
    <n v="0"/>
    <n v="3"/>
  </r>
  <r>
    <d v="2026-03-24T00:00:00"/>
    <s v="20/03/2026"/>
    <x v="5"/>
    <x v="0"/>
    <x v="130"/>
    <x v="127"/>
    <x v="3"/>
    <x v="3"/>
    <m/>
    <x v="0"/>
    <x v="0"/>
    <n v="27453"/>
    <n v="16"/>
    <n v="2"/>
    <n v="222.904"/>
    <n v="0.2"/>
    <n v="77"/>
    <n v="1"/>
    <s v="A|B|C"/>
    <n v="1"/>
    <n v="1"/>
    <n v="1"/>
    <n v="0"/>
    <n v="0"/>
    <n v="3"/>
  </r>
  <r>
    <d v="2026-03-24T00:00:00"/>
    <s v="20/03/2026"/>
    <x v="5"/>
    <x v="0"/>
    <x v="131"/>
    <x v="128"/>
    <x v="3"/>
    <x v="3"/>
    <m/>
    <x v="5"/>
    <x v="0"/>
    <n v="27453"/>
    <n v="71"/>
    <n v="13"/>
    <n v="956.32600000000002"/>
    <n v="136.30000000000001"/>
    <n v="25"/>
    <n v="5"/>
    <s v="A|B|C"/>
    <n v="6"/>
    <n v="6"/>
    <n v="1"/>
    <n v="0"/>
    <n v="0"/>
    <n v="13"/>
  </r>
  <r>
    <d v="2026-03-24T00:00:00"/>
    <s v="20/03/2026"/>
    <x v="5"/>
    <x v="0"/>
    <x v="101"/>
    <x v="99"/>
    <x v="3"/>
    <x v="3"/>
    <m/>
    <x v="0"/>
    <x v="0"/>
    <n v="27453"/>
    <n v="30"/>
    <n v="6"/>
    <n v="841.66499999999996"/>
    <n v="19.5"/>
    <n v="25"/>
    <n v="3"/>
    <s v="A|B|C"/>
    <n v="3"/>
    <n v="3"/>
    <n v="0"/>
    <n v="0"/>
    <n v="0"/>
    <n v="6"/>
  </r>
  <r>
    <d v="2026-03-24T00:00:00"/>
    <s v="20/03/2026"/>
    <x v="5"/>
    <x v="0"/>
    <x v="16"/>
    <x v="15"/>
    <x v="3"/>
    <x v="3"/>
    <m/>
    <x v="0"/>
    <x v="0"/>
    <n v="27453"/>
    <n v="16"/>
    <n v="4"/>
    <n v="509.84399999999999"/>
    <n v="0.4"/>
    <n v="35"/>
    <n v="2"/>
    <s v="A|B|C"/>
    <n v="2"/>
    <n v="2"/>
    <n v="0"/>
    <n v="0"/>
    <n v="0"/>
    <n v="4"/>
  </r>
  <r>
    <d v="2026-03-24T00:00:00"/>
    <s v="20/03/2026"/>
    <x v="5"/>
    <x v="0"/>
    <x v="132"/>
    <x v="129"/>
    <x v="3"/>
    <x v="3"/>
    <m/>
    <x v="5"/>
    <x v="0"/>
    <n v="27453"/>
    <n v="47"/>
    <n v="14"/>
    <n v="1158.2349999999999"/>
    <n v="63.7"/>
    <n v="20"/>
    <n v="5"/>
    <s v="A|B|C"/>
    <n v="5"/>
    <n v="4"/>
    <n v="1"/>
    <n v="0"/>
    <n v="0"/>
    <n v="10"/>
  </r>
  <r>
    <d v="2026-03-24T00:00:00"/>
    <s v="20/03/2026"/>
    <x v="5"/>
    <x v="0"/>
    <x v="19"/>
    <x v="18"/>
    <x v="3"/>
    <x v="3"/>
    <m/>
    <x v="0"/>
    <x v="0"/>
    <n v="27453"/>
    <n v="10"/>
    <n v="2"/>
    <n v="264.80500000000001"/>
    <n v="0.2"/>
    <n v="30"/>
    <n v="1"/>
    <s v="A|B|C"/>
    <n v="1"/>
    <n v="1"/>
    <n v="0"/>
    <n v="0"/>
    <n v="0"/>
    <n v="2"/>
  </r>
  <r>
    <d v="2026-03-24T00:00:00"/>
    <s v="20/03/2026"/>
    <x v="5"/>
    <x v="0"/>
    <x v="133"/>
    <x v="130"/>
    <x v="3"/>
    <x v="3"/>
    <m/>
    <x v="0"/>
    <x v="0"/>
    <n v="27453"/>
    <n v="65"/>
    <n v="16"/>
    <n v="1775.4880000000001"/>
    <n v="220.7"/>
    <n v="20"/>
    <n v="7"/>
    <s v="A|B|C"/>
    <n v="7"/>
    <n v="7"/>
    <n v="0"/>
    <n v="0"/>
    <n v="0"/>
    <n v="14"/>
  </r>
  <r>
    <d v="2026-03-24T00:00:00"/>
    <s v="20/03/2026"/>
    <x v="5"/>
    <x v="0"/>
    <x v="134"/>
    <x v="131"/>
    <x v="3"/>
    <x v="3"/>
    <m/>
    <x v="5"/>
    <x v="0"/>
    <n v="27453"/>
    <n v="65"/>
    <n v="18"/>
    <n v="2803.1550000000002"/>
    <n v="352.7"/>
    <n v="29"/>
    <n v="9"/>
    <s v="A|B|C"/>
    <n v="8"/>
    <n v="8"/>
    <n v="0"/>
    <n v="0"/>
    <n v="0"/>
    <n v="16"/>
  </r>
  <r>
    <d v="2026-03-24T00:00:00"/>
    <s v="20/03/2026"/>
    <x v="5"/>
    <x v="0"/>
    <x v="135"/>
    <x v="132"/>
    <x v="3"/>
    <x v="3"/>
    <m/>
    <x v="0"/>
    <x v="0"/>
    <n v="27453"/>
    <n v="85"/>
    <n v="17"/>
    <n v="1754.5239999999999"/>
    <n v="158.19999999999999"/>
    <n v="25"/>
    <n v="9"/>
    <s v="A|B|C"/>
    <n v="6"/>
    <n v="8"/>
    <n v="0"/>
    <n v="0"/>
    <n v="0"/>
    <n v="14"/>
  </r>
  <r>
    <d v="2026-03-24T00:00:00"/>
    <s v="20/03/2026"/>
    <x v="5"/>
    <x v="0"/>
    <x v="59"/>
    <x v="58"/>
    <x v="3"/>
    <x v="3"/>
    <m/>
    <x v="5"/>
    <x v="0"/>
    <n v="27453"/>
    <n v="74"/>
    <n v="18"/>
    <n v="1650.6369999999999"/>
    <n v="162"/>
    <n v="20"/>
    <n v="9"/>
    <s v="A|B|C"/>
    <n v="9"/>
    <n v="7"/>
    <n v="2"/>
    <n v="0"/>
    <n v="0"/>
    <n v="18"/>
  </r>
  <r>
    <d v="2026-03-24T00:00:00"/>
    <s v="20/03/2026"/>
    <x v="5"/>
    <x v="0"/>
    <x v="136"/>
    <x v="133"/>
    <x v="3"/>
    <x v="3"/>
    <m/>
    <x v="5"/>
    <x v="0"/>
    <n v="27453"/>
    <n v="14"/>
    <n v="19"/>
    <n v="148.02199999999999"/>
    <n v="221.5"/>
    <n v="23"/>
    <n v="5"/>
    <s v="A|B|C"/>
    <n v="5"/>
    <n v="0"/>
    <n v="0"/>
    <n v="0"/>
    <n v="0"/>
    <n v="5"/>
  </r>
  <r>
    <d v="2026-03-24T00:00:00"/>
    <s v="20/03/2026"/>
    <x v="5"/>
    <x v="0"/>
    <x v="137"/>
    <x v="134"/>
    <x v="3"/>
    <x v="3"/>
    <m/>
    <x v="5"/>
    <x v="0"/>
    <n v="27453"/>
    <n v="16"/>
    <n v="21"/>
    <n v="156.52799999999999"/>
    <n v="237.1"/>
    <n v="0"/>
    <n v="0"/>
    <s v="A|B|C"/>
    <n v="0"/>
    <n v="5"/>
    <n v="0"/>
    <n v="0"/>
    <n v="0"/>
    <n v="5"/>
  </r>
  <r>
    <d v="2026-03-24T00:00:00"/>
    <s v="20/03/2026"/>
    <x v="5"/>
    <x v="0"/>
    <x v="138"/>
    <x v="119"/>
    <x v="3"/>
    <x v="3"/>
    <m/>
    <x v="5"/>
    <x v="0"/>
    <n v="27453"/>
    <n v="48"/>
    <n v="18"/>
    <n v="1471.3440000000001"/>
    <n v="200.6"/>
    <n v="15"/>
    <n v="6"/>
    <s v="A|B|C"/>
    <n v="6"/>
    <n v="3"/>
    <n v="3"/>
    <n v="0"/>
    <n v="0"/>
    <n v="12"/>
  </r>
  <r>
    <d v="2026-03-24T00:00:00"/>
    <s v="20/03/2026"/>
    <x v="5"/>
    <x v="0"/>
    <x v="139"/>
    <x v="135"/>
    <x v="3"/>
    <x v="3"/>
    <m/>
    <x v="5"/>
    <x v="0"/>
    <n v="27453"/>
    <n v="70"/>
    <n v="18"/>
    <n v="1665.53"/>
    <n v="132.19999999999999"/>
    <n v="30"/>
    <n v="9"/>
    <s v="A|B|C"/>
    <n v="9"/>
    <n v="6"/>
    <n v="3"/>
    <n v="0"/>
    <n v="0"/>
    <n v="18"/>
  </r>
  <r>
    <d v="2026-03-24T00:00:00"/>
    <s v="20/03/2026"/>
    <x v="5"/>
    <x v="0"/>
    <x v="140"/>
    <x v="136"/>
    <x v="3"/>
    <x v="3"/>
    <m/>
    <x v="5"/>
    <x v="0"/>
    <n v="27453"/>
    <n v="17"/>
    <n v="22"/>
    <n v="203.49"/>
    <n v="297.7"/>
    <n v="11"/>
    <n v="5"/>
    <s v="A|B|C"/>
    <n v="5"/>
    <n v="0"/>
    <n v="0"/>
    <n v="0"/>
    <n v="0"/>
    <n v="5"/>
  </r>
  <r>
    <d v="2026-03-24T00:00:00"/>
    <s v="20/03/2026"/>
    <x v="5"/>
    <x v="0"/>
    <x v="141"/>
    <x v="137"/>
    <x v="3"/>
    <x v="3"/>
    <m/>
    <x v="5"/>
    <x v="0"/>
    <n v="27453"/>
    <n v="12"/>
    <n v="17"/>
    <n v="143.904"/>
    <n v="200"/>
    <n v="0"/>
    <n v="0"/>
    <s v="A|B|C"/>
    <n v="0"/>
    <n v="5"/>
    <n v="0"/>
    <n v="0"/>
    <n v="0"/>
    <n v="5"/>
  </r>
  <r>
    <d v="2026-03-24T00:00:00"/>
    <s v="20/03/2026"/>
    <x v="5"/>
    <x v="0"/>
    <x v="61"/>
    <x v="60"/>
    <x v="3"/>
    <x v="3"/>
    <m/>
    <x v="5"/>
    <x v="0"/>
    <n v="27453"/>
    <n v="34"/>
    <n v="8"/>
    <n v="1705.6579999999999"/>
    <n v="78.3"/>
    <n v="30"/>
    <n v="4"/>
    <s v="A|B|C"/>
    <n v="5"/>
    <n v="3"/>
    <n v="1"/>
    <n v="0"/>
    <n v="0"/>
    <n v="9"/>
  </r>
  <r>
    <d v="2026-03-24T00:00:00"/>
    <s v="20/03/2026"/>
    <x v="5"/>
    <x v="0"/>
    <x v="142"/>
    <x v="138"/>
    <x v="3"/>
    <x v="3"/>
    <m/>
    <x v="5"/>
    <x v="0"/>
    <n v="27453"/>
    <n v="27"/>
    <n v="8"/>
    <n v="856.7"/>
    <n v="43.4"/>
    <n v="30"/>
    <n v="3"/>
    <s v="A|B|C"/>
    <n v="3"/>
    <n v="2"/>
    <n v="2"/>
    <n v="0"/>
    <n v="0"/>
    <n v="7"/>
  </r>
  <r>
    <d v="2026-03-24T00:00:00"/>
    <s v="20/03/2026"/>
    <x v="5"/>
    <x v="0"/>
    <x v="24"/>
    <x v="23"/>
    <x v="3"/>
    <x v="3"/>
    <m/>
    <x v="0"/>
    <x v="0"/>
    <n v="27453"/>
    <n v="20"/>
    <n v="4"/>
    <n v="451.03"/>
    <n v="0.4"/>
    <n v="30"/>
    <n v="2"/>
    <s v="A|B|C"/>
    <n v="2"/>
    <n v="2"/>
    <n v="0"/>
    <n v="0"/>
    <n v="0"/>
    <n v="4"/>
  </r>
  <r>
    <d v="2026-03-24T00:00:00"/>
    <s v="20/03/2026"/>
    <x v="5"/>
    <x v="0"/>
    <x v="25"/>
    <x v="24"/>
    <x v="3"/>
    <x v="3"/>
    <m/>
    <x v="0"/>
    <x v="0"/>
    <n v="27453"/>
    <n v="20"/>
    <n v="4"/>
    <n v="474.79500000000002"/>
    <n v="20.8"/>
    <n v="20"/>
    <n v="2"/>
    <s v="A|B|C"/>
    <n v="2"/>
    <n v="2"/>
    <n v="0"/>
    <n v="0"/>
    <n v="0"/>
    <n v="4"/>
  </r>
  <r>
    <d v="2026-03-24T00:00:00"/>
    <s v="20/03/2026"/>
    <x v="5"/>
    <x v="0"/>
    <x v="27"/>
    <x v="26"/>
    <x v="3"/>
    <x v="3"/>
    <m/>
    <x v="0"/>
    <x v="0"/>
    <n v="27453"/>
    <n v="10"/>
    <n v="2"/>
    <n v="204.964"/>
    <n v="0.2"/>
    <n v="140"/>
    <n v="1"/>
    <s v="A|B|C"/>
    <n v="1"/>
    <n v="1"/>
    <n v="0"/>
    <n v="0"/>
    <n v="0"/>
    <n v="2"/>
  </r>
  <r>
    <d v="2026-03-24T00:00:00"/>
    <s v="20/03/2026"/>
    <x v="5"/>
    <x v="0"/>
    <x v="104"/>
    <x v="102"/>
    <x v="3"/>
    <x v="3"/>
    <m/>
    <x v="0"/>
    <x v="0"/>
    <n v="27453"/>
    <n v="30"/>
    <n v="6"/>
    <n v="715.44"/>
    <n v="12.9"/>
    <n v="30"/>
    <n v="3"/>
    <s v="A|B|C"/>
    <n v="3"/>
    <n v="3"/>
    <n v="0"/>
    <n v="0"/>
    <n v="0"/>
    <n v="6"/>
  </r>
  <r>
    <d v="2026-03-24T00:00:00"/>
    <s v="20/03/2026"/>
    <x v="5"/>
    <x v="7"/>
    <x v="143"/>
    <x v="139"/>
    <x v="3"/>
    <x v="3"/>
    <m/>
    <x v="5"/>
    <x v="0"/>
    <n v="27453"/>
    <n v="18"/>
    <n v="2"/>
    <n v="374.77800000000002"/>
    <n v="13.1"/>
    <n v="60"/>
    <n v="1"/>
    <s v="A|B|C"/>
    <n v="1"/>
    <n v="1"/>
    <n v="0"/>
    <n v="0"/>
    <n v="0"/>
    <n v="2"/>
  </r>
  <r>
    <d v="2026-03-24T00:00:00"/>
    <s v="20/03/2026"/>
    <x v="5"/>
    <x v="3"/>
    <x v="144"/>
    <x v="140"/>
    <x v="3"/>
    <x v="3"/>
    <m/>
    <x v="5"/>
    <x v="0"/>
    <n v="27453"/>
    <n v="45"/>
    <n v="13"/>
    <n v="552.39300000000003"/>
    <n v="153.69999999999999"/>
    <n v="20"/>
    <n v="4"/>
    <s v="A|B|C"/>
    <n v="4"/>
    <n v="2"/>
    <n v="2"/>
    <n v="0"/>
    <n v="0"/>
    <n v="8"/>
  </r>
  <r>
    <d v="2026-03-24T00:00:00"/>
    <s v="20/03/2026"/>
    <x v="5"/>
    <x v="3"/>
    <x v="145"/>
    <x v="141"/>
    <x v="3"/>
    <x v="3"/>
    <m/>
    <x v="5"/>
    <x v="0"/>
    <n v="27453"/>
    <n v="83"/>
    <n v="10"/>
    <n v="748.82600000000002"/>
    <n v="119.5"/>
    <n v="12"/>
    <n v="5"/>
    <s v="A|B|C"/>
    <n v="4"/>
    <n v="5"/>
    <n v="0"/>
    <n v="0"/>
    <n v="0"/>
    <n v="9"/>
  </r>
  <r>
    <d v="2026-03-24T00:00:00"/>
    <s v="20/03/2026"/>
    <x v="5"/>
    <x v="3"/>
    <x v="146"/>
    <x v="142"/>
    <x v="3"/>
    <x v="3"/>
    <m/>
    <x v="5"/>
    <x v="0"/>
    <n v="27453"/>
    <n v="52"/>
    <n v="10"/>
    <n v="774.327"/>
    <n v="110.5"/>
    <n v="15"/>
    <n v="5"/>
    <s v="A|B|C"/>
    <n v="3"/>
    <n v="5"/>
    <n v="0"/>
    <n v="0"/>
    <n v="0"/>
    <n v="8"/>
  </r>
  <r>
    <d v="2026-03-24T00:00:00"/>
    <s v="20/03/2026"/>
    <x v="5"/>
    <x v="3"/>
    <x v="147"/>
    <x v="143"/>
    <x v="3"/>
    <x v="3"/>
    <m/>
    <x v="5"/>
    <x v="0"/>
    <n v="27453"/>
    <n v="49"/>
    <n v="10"/>
    <n v="683.29600000000005"/>
    <n v="52.9"/>
    <n v="8"/>
    <n v="5"/>
    <s v="A|B|C"/>
    <n v="3"/>
    <n v="4"/>
    <n v="1"/>
    <n v="0"/>
    <n v="0"/>
    <n v="8"/>
  </r>
  <r>
    <d v="2026-03-24T00:00:00"/>
    <s v="20/03/2026"/>
    <x v="5"/>
    <x v="3"/>
    <x v="148"/>
    <x v="144"/>
    <x v="3"/>
    <x v="3"/>
    <m/>
    <x v="5"/>
    <x v="0"/>
    <n v="27453"/>
    <n v="81"/>
    <n v="11"/>
    <n v="708.42600000000004"/>
    <n v="53.9"/>
    <n v="12"/>
    <n v="4"/>
    <s v="A|B|C"/>
    <n v="4"/>
    <n v="4"/>
    <n v="0"/>
    <n v="0"/>
    <n v="0"/>
    <n v="8"/>
  </r>
  <r>
    <d v="2026-03-25T00:00:00"/>
    <s v="20/03/2026"/>
    <x v="5"/>
    <x v="3"/>
    <x v="149"/>
    <x v="145"/>
    <x v="3"/>
    <x v="3"/>
    <m/>
    <x v="5"/>
    <x v="0"/>
    <n v="27453"/>
    <n v="32"/>
    <n v="4"/>
    <n v="578.99199999999996"/>
    <n v="47.8"/>
    <n v="30"/>
    <n v="2"/>
    <s v="A|B|C"/>
    <n v="3"/>
    <n v="0"/>
    <n v="1"/>
    <n v="0"/>
    <n v="0"/>
    <n v="4"/>
  </r>
  <r>
    <d v="2026-03-25T00:00:00"/>
    <s v="20/03/2026"/>
    <x v="5"/>
    <x v="3"/>
    <x v="150"/>
    <x v="146"/>
    <x v="3"/>
    <x v="3"/>
    <m/>
    <x v="5"/>
    <x v="0"/>
    <n v="27453"/>
    <n v="98"/>
    <n v="29"/>
    <n v="1980.546"/>
    <n v="164.25"/>
    <n v="15"/>
    <n v="12"/>
    <s v="A|B|C"/>
    <n v="11"/>
    <n v="10"/>
    <n v="1"/>
    <n v="0"/>
    <n v="0"/>
    <n v="22"/>
  </r>
  <r>
    <d v="2026-03-25T00:00:00"/>
    <s v="20/03/2026"/>
    <x v="5"/>
    <x v="3"/>
    <x v="151"/>
    <x v="147"/>
    <x v="3"/>
    <x v="3"/>
    <m/>
    <x v="5"/>
    <x v="0"/>
    <n v="27453"/>
    <n v="75"/>
    <n v="12"/>
    <n v="1243.8320000000001"/>
    <n v="56.3"/>
    <n v="30"/>
    <n v="6"/>
    <s v="A|B|C"/>
    <n v="6"/>
    <n v="6"/>
    <n v="0"/>
    <n v="0"/>
    <n v="0"/>
    <n v="12"/>
  </r>
  <r>
    <d v="2026-03-25T00:00:00"/>
    <s v="20/03/2026"/>
    <x v="5"/>
    <x v="3"/>
    <x v="152"/>
    <x v="148"/>
    <x v="3"/>
    <x v="3"/>
    <m/>
    <x v="0"/>
    <x v="0"/>
    <n v="27453"/>
    <n v="22"/>
    <n v="2"/>
    <n v="196.768"/>
    <n v="0.2"/>
    <n v="15"/>
    <n v="1"/>
    <s v="A|B|C"/>
    <n v="1"/>
    <n v="1"/>
    <n v="0"/>
    <n v="0"/>
    <n v="0"/>
    <n v="2"/>
  </r>
  <r>
    <d v="2026-03-25T00:00:00"/>
    <s v="20/03/2026"/>
    <x v="5"/>
    <x v="3"/>
    <x v="153"/>
    <x v="149"/>
    <x v="3"/>
    <x v="3"/>
    <m/>
    <x v="5"/>
    <x v="0"/>
    <n v="27453"/>
    <n v="45"/>
    <n v="8"/>
    <n v="578.54100000000005"/>
    <n v="38.78"/>
    <n v="20"/>
    <n v="3"/>
    <s v="A|B|C"/>
    <n v="3"/>
    <n v="2"/>
    <n v="1"/>
    <n v="0"/>
    <n v="0"/>
    <n v="6"/>
  </r>
  <r>
    <d v="2026-03-25T00:00:00"/>
    <s v="20/03/2026"/>
    <x v="5"/>
    <x v="3"/>
    <x v="154"/>
    <x v="150"/>
    <x v="3"/>
    <x v="3"/>
    <m/>
    <x v="5"/>
    <x v="0"/>
    <n v="27453"/>
    <n v="43"/>
    <n v="7"/>
    <n v="1151.0309999999999"/>
    <n v="61.7"/>
    <n v="30"/>
    <n v="4"/>
    <s v="A|B|C"/>
    <n v="5"/>
    <n v="2"/>
    <n v="2"/>
    <n v="0"/>
    <n v="0"/>
    <n v="9"/>
  </r>
  <r>
    <d v="2026-03-25T00:00:00"/>
    <s v="20/03/2026"/>
    <x v="5"/>
    <x v="3"/>
    <x v="155"/>
    <x v="151"/>
    <x v="3"/>
    <x v="3"/>
    <m/>
    <x v="5"/>
    <x v="0"/>
    <n v="27453"/>
    <n v="64"/>
    <n v="15"/>
    <n v="2299.1779999999999"/>
    <n v="104.7"/>
    <n v="15"/>
    <n v="6"/>
    <s v="A|B|C"/>
    <n v="7"/>
    <n v="6"/>
    <n v="2"/>
    <n v="0"/>
    <n v="0"/>
    <n v="15"/>
  </r>
  <r>
    <d v="2026-03-25T00:00:00"/>
    <s v="20/03/2026"/>
    <x v="5"/>
    <x v="3"/>
    <x v="156"/>
    <x v="152"/>
    <x v="3"/>
    <x v="3"/>
    <m/>
    <x v="5"/>
    <x v="0"/>
    <n v="27453"/>
    <n v="31"/>
    <n v="5"/>
    <n v="538.87300000000005"/>
    <n v="35.4"/>
    <n v="30"/>
    <n v="2"/>
    <s v="A|B|C"/>
    <n v="3"/>
    <n v="2"/>
    <n v="0"/>
    <n v="0"/>
    <n v="0"/>
    <n v="5"/>
  </r>
  <r>
    <d v="2026-03-25T00:00:00"/>
    <s v="20/03/2026"/>
    <x v="5"/>
    <x v="3"/>
    <x v="68"/>
    <x v="67"/>
    <x v="3"/>
    <x v="3"/>
    <m/>
    <x v="5"/>
    <x v="0"/>
    <n v="27453"/>
    <n v="37"/>
    <n v="6"/>
    <n v="795.42499999999995"/>
    <n v="75.5"/>
    <n v="20"/>
    <n v="3"/>
    <s v="A|B|C"/>
    <n v="2"/>
    <n v="3"/>
    <n v="0"/>
    <n v="0"/>
    <n v="0"/>
    <n v="5"/>
  </r>
  <r>
    <d v="2026-03-25T00:00:00"/>
    <s v="20/03/2026"/>
    <x v="5"/>
    <x v="3"/>
    <x v="157"/>
    <x v="153"/>
    <x v="3"/>
    <x v="3"/>
    <m/>
    <x v="5"/>
    <x v="0"/>
    <n v="27453"/>
    <n v="46"/>
    <n v="13"/>
    <n v="773.54899999999998"/>
    <n v="89.6"/>
    <n v="20"/>
    <n v="5"/>
    <s v="A|B|C"/>
    <n v="3"/>
    <n v="3"/>
    <n v="2"/>
    <n v="0"/>
    <n v="0"/>
    <n v="8"/>
  </r>
  <r>
    <d v="2026-03-25T00:00:00"/>
    <s v="20/03/2026"/>
    <x v="5"/>
    <x v="3"/>
    <x v="158"/>
    <x v="154"/>
    <x v="3"/>
    <x v="3"/>
    <m/>
    <x v="5"/>
    <x v="0"/>
    <n v="27453"/>
    <n v="47"/>
    <n v="14"/>
    <n v="1359.6220000000001"/>
    <n v="95.5"/>
    <n v="20"/>
    <n v="5"/>
    <s v="A|B|C"/>
    <n v="5"/>
    <n v="5"/>
    <n v="2"/>
    <n v="0"/>
    <n v="0"/>
    <n v="12"/>
  </r>
  <r>
    <d v="2026-03-25T00:00:00"/>
    <s v="20/03/2026"/>
    <x v="5"/>
    <x v="3"/>
    <x v="159"/>
    <x v="155"/>
    <x v="3"/>
    <x v="3"/>
    <m/>
    <x v="5"/>
    <x v="0"/>
    <n v="27453"/>
    <n v="60"/>
    <n v="20"/>
    <n v="1885.402"/>
    <n v="148.1"/>
    <n v="15"/>
    <n v="8"/>
    <s v="A|B|C"/>
    <n v="6"/>
    <n v="7"/>
    <n v="1"/>
    <n v="0"/>
    <n v="0"/>
    <n v="14"/>
  </r>
  <r>
    <d v="2026-03-25T00:00:00"/>
    <s v="20/03/2026"/>
    <x v="5"/>
    <x v="3"/>
    <x v="160"/>
    <x v="156"/>
    <x v="3"/>
    <x v="3"/>
    <m/>
    <x v="5"/>
    <x v="0"/>
    <n v="27453"/>
    <n v="74"/>
    <n v="18"/>
    <n v="943.41899999999998"/>
    <n v="200.5"/>
    <n v="10"/>
    <n v="6"/>
    <s v="A|B|C"/>
    <n v="6"/>
    <n v="4"/>
    <n v="2"/>
    <n v="0"/>
    <n v="0"/>
    <n v="12"/>
  </r>
  <r>
    <d v="2026-03-25T00:00:00"/>
    <s v="20/03/2026"/>
    <x v="5"/>
    <x v="3"/>
    <x v="43"/>
    <x v="42"/>
    <x v="3"/>
    <x v="3"/>
    <m/>
    <x v="1"/>
    <x v="0"/>
    <n v="27453"/>
    <n v="20"/>
    <n v="4"/>
    <n v="274.52"/>
    <n v="0.4"/>
    <n v="20"/>
    <n v="2"/>
    <s v="A|B|C"/>
    <n v="2"/>
    <n v="2"/>
    <n v="0"/>
    <n v="0"/>
    <n v="0"/>
    <n v="4"/>
  </r>
  <r>
    <d v="2026-03-25T00:00:00"/>
    <s v="20/03/2026"/>
    <x v="5"/>
    <x v="0"/>
    <x v="161"/>
    <x v="157"/>
    <x v="3"/>
    <x v="3"/>
    <m/>
    <x v="5"/>
    <x v="0"/>
    <n v="27453"/>
    <n v="56"/>
    <n v="22"/>
    <n v="2215.08"/>
    <n v="140.6"/>
    <n v="20"/>
    <n v="10"/>
    <s v="A|B|C"/>
    <n v="9"/>
    <n v="7"/>
    <n v="4"/>
    <n v="0"/>
    <n v="0"/>
    <n v="20"/>
  </r>
  <r>
    <d v="2026-03-25T00:00:00"/>
    <s v="20/03/2026"/>
    <x v="5"/>
    <x v="7"/>
    <x v="162"/>
    <x v="158"/>
    <x v="3"/>
    <x v="3"/>
    <m/>
    <x v="5"/>
    <x v="0"/>
    <n v="27453"/>
    <n v="18"/>
    <n v="2"/>
    <n v="384.87400000000002"/>
    <n v="23.9"/>
    <n v="60"/>
    <n v="1"/>
    <s v="A|B|C"/>
    <n v="1"/>
    <n v="1"/>
    <n v="0"/>
    <n v="0"/>
    <n v="0"/>
    <n v="2"/>
  </r>
  <r>
    <d v="2026-03-25T00:00:00"/>
    <s v="20/03/2026"/>
    <x v="5"/>
    <x v="1"/>
    <x v="115"/>
    <x v="113"/>
    <x v="3"/>
    <x v="3"/>
    <m/>
    <x v="0"/>
    <x v="0"/>
    <n v="27453"/>
    <n v="59"/>
    <n v="13"/>
    <n v="1364.2719999999999"/>
    <n v="194.1"/>
    <n v="20"/>
    <n v="7"/>
    <s v="A|B|C"/>
    <n v="7"/>
    <n v="5"/>
    <n v="2"/>
    <n v="0"/>
    <n v="0"/>
    <n v="14"/>
  </r>
  <r>
    <d v="2026-03-25T00:00:00"/>
    <s v="20/03/2026"/>
    <x v="5"/>
    <x v="1"/>
    <x v="47"/>
    <x v="46"/>
    <x v="3"/>
    <x v="3"/>
    <m/>
    <x v="0"/>
    <x v="0"/>
    <n v="27453"/>
    <n v="30"/>
    <n v="6"/>
    <n v="930.41700000000003"/>
    <n v="0.6"/>
    <n v="20"/>
    <n v="3"/>
    <s v="A|B|C"/>
    <n v="3"/>
    <n v="3"/>
    <n v="0"/>
    <n v="0"/>
    <n v="0"/>
    <n v="6"/>
  </r>
  <r>
    <d v="2026-03-25T00:00:00"/>
    <s v="20/03/2026"/>
    <x v="5"/>
    <x v="1"/>
    <x v="44"/>
    <x v="43"/>
    <x v="3"/>
    <x v="3"/>
    <m/>
    <x v="3"/>
    <x v="0"/>
    <n v="27453"/>
    <n v="12"/>
    <n v="2"/>
    <n v="371.58600000000001"/>
    <n v="6.5"/>
    <n v="20"/>
    <n v="1"/>
    <s v="A|B|C"/>
    <n v="1"/>
    <n v="1"/>
    <n v="0"/>
    <n v="0"/>
    <n v="0"/>
    <n v="2"/>
  </r>
  <r>
    <d v="2026-03-25T00:00:00"/>
    <s v="20/03/2026"/>
    <x v="5"/>
    <x v="1"/>
    <x v="117"/>
    <x v="115"/>
    <x v="3"/>
    <x v="3"/>
    <m/>
    <x v="5"/>
    <x v="0"/>
    <n v="27453"/>
    <n v="30"/>
    <n v="9"/>
    <n v="871.06500000000005"/>
    <n v="148.9"/>
    <n v="30"/>
    <n v="4"/>
    <s v="A|B|C"/>
    <n v="4"/>
    <n v="5"/>
    <n v="0"/>
    <n v="0"/>
    <n v="0"/>
    <n v="9"/>
  </r>
  <r>
    <d v="2026-03-25T00:00:00"/>
    <s v="20/03/2026"/>
    <x v="5"/>
    <x v="1"/>
    <x v="93"/>
    <x v="92"/>
    <x v="3"/>
    <x v="3"/>
    <m/>
    <x v="0"/>
    <x v="0"/>
    <n v="27453"/>
    <n v="24"/>
    <n v="4"/>
    <n v="1180.8"/>
    <n v="0.4"/>
    <n v="30"/>
    <n v="2"/>
    <s v="A|B|C"/>
    <n v="2"/>
    <n v="2"/>
    <n v="0"/>
    <n v="0"/>
    <n v="0"/>
    <n v="4"/>
  </r>
  <r>
    <d v="2026-03-25T00:00:00"/>
    <s v="20/03/2026"/>
    <x v="5"/>
    <x v="0"/>
    <x v="120"/>
    <x v="118"/>
    <x v="3"/>
    <x v="3"/>
    <m/>
    <x v="5"/>
    <x v="1"/>
    <n v="27452"/>
    <n v="105"/>
    <n v="28"/>
    <n v="1798.665"/>
    <n v="197.5"/>
    <n v="15"/>
    <n v="10"/>
    <s v="A|B|C"/>
    <n v="10"/>
    <n v="6"/>
    <n v="4"/>
    <n v="0"/>
    <n v="0"/>
    <n v="20"/>
  </r>
  <r>
    <d v="2026-03-25T00:00:00"/>
    <s v="20/03/2026"/>
    <x v="5"/>
    <x v="0"/>
    <x v="0"/>
    <x v="0"/>
    <x v="3"/>
    <x v="3"/>
    <m/>
    <x v="0"/>
    <x v="1"/>
    <n v="27452"/>
    <n v="24"/>
    <n v="10"/>
    <n v="899.73299999999995"/>
    <n v="176.2"/>
    <n v="20"/>
    <n v="4"/>
    <s v="A|B|C"/>
    <n v="3"/>
    <n v="4"/>
    <n v="0"/>
    <n v="0"/>
    <n v="0"/>
    <n v="7"/>
  </r>
  <r>
    <d v="2026-03-25T00:00:00"/>
    <s v="20/03/2026"/>
    <x v="5"/>
    <x v="0"/>
    <x v="121"/>
    <x v="119"/>
    <x v="3"/>
    <x v="3"/>
    <m/>
    <x v="5"/>
    <x v="1"/>
    <n v="27452"/>
    <n v="107"/>
    <n v="10"/>
    <n v="1264.242"/>
    <n v="125.4"/>
    <n v="20"/>
    <n v="5"/>
    <s v="A|B|C"/>
    <n v="8"/>
    <n v="2"/>
    <n v="3"/>
    <n v="0"/>
    <n v="0"/>
    <n v="13"/>
  </r>
  <r>
    <d v="2026-03-25T00:00:00"/>
    <s v="20/03/2026"/>
    <x v="5"/>
    <x v="0"/>
    <x v="97"/>
    <x v="96"/>
    <x v="3"/>
    <x v="3"/>
    <m/>
    <x v="5"/>
    <x v="1"/>
    <n v="27452"/>
    <n v="62"/>
    <n v="10"/>
    <n v="1572.9590000000001"/>
    <n v="128.1"/>
    <n v="30"/>
    <n v="5"/>
    <s v="A|B|C"/>
    <n v="7"/>
    <n v="3"/>
    <n v="2"/>
    <n v="0"/>
    <n v="0"/>
    <n v="12"/>
  </r>
  <r>
    <d v="2026-03-25T00:00:00"/>
    <s v="20/03/2026"/>
    <x v="5"/>
    <x v="6"/>
    <x v="122"/>
    <x v="120"/>
    <x v="3"/>
    <x v="3"/>
    <m/>
    <x v="5"/>
    <x v="1"/>
    <n v="27452"/>
    <n v="68"/>
    <n v="8"/>
    <n v="771.12"/>
    <n v="51.2"/>
    <n v="20"/>
    <n v="4"/>
    <s v="A|B|C"/>
    <n v="4"/>
    <n v="4"/>
    <n v="0"/>
    <n v="0"/>
    <n v="0"/>
    <n v="8"/>
  </r>
  <r>
    <d v="2026-03-25T00:00:00"/>
    <s v="20/03/2026"/>
    <x v="5"/>
    <x v="0"/>
    <x v="123"/>
    <x v="121"/>
    <x v="3"/>
    <x v="3"/>
    <m/>
    <x v="5"/>
    <x v="1"/>
    <n v="27452"/>
    <n v="68"/>
    <n v="2"/>
    <n v="203.524"/>
    <n v="10.3"/>
    <n v="30"/>
    <n v="1"/>
    <s v="A|B|C"/>
    <n v="1"/>
    <n v="1"/>
    <n v="0"/>
    <n v="0"/>
    <n v="0"/>
    <n v="2"/>
  </r>
  <r>
    <d v="2026-03-25T00:00:00"/>
    <s v="20/03/2026"/>
    <x v="5"/>
    <x v="0"/>
    <x v="124"/>
    <x v="122"/>
    <x v="3"/>
    <x v="3"/>
    <m/>
    <x v="0"/>
    <x v="1"/>
    <n v="27452"/>
    <n v="82"/>
    <n v="16"/>
    <n v="2311.83"/>
    <n v="116.6"/>
    <n v="25"/>
    <n v="8"/>
    <s v="A|B|C"/>
    <n v="9"/>
    <n v="6"/>
    <n v="2"/>
    <n v="0"/>
    <n v="0"/>
    <n v="17"/>
  </r>
  <r>
    <d v="2026-03-25T00:00:00"/>
    <s v="20/03/2026"/>
    <x v="5"/>
    <x v="0"/>
    <x v="125"/>
    <x v="123"/>
    <x v="3"/>
    <x v="3"/>
    <m/>
    <x v="5"/>
    <x v="1"/>
    <n v="27452"/>
    <n v="79"/>
    <n v="14"/>
    <n v="1041.242"/>
    <n v="188.4"/>
    <n v="20"/>
    <n v="6"/>
    <s v="A|B|C"/>
    <n v="6"/>
    <n v="4"/>
    <n v="2"/>
    <n v="0"/>
    <n v="0"/>
    <n v="12"/>
  </r>
  <r>
    <d v="2026-03-25T00:00:00"/>
    <s v="20/03/2026"/>
    <x v="5"/>
    <x v="0"/>
    <x v="126"/>
    <x v="124"/>
    <x v="3"/>
    <x v="3"/>
    <m/>
    <x v="0"/>
    <x v="1"/>
    <n v="27452"/>
    <n v="88"/>
    <n v="22"/>
    <n v="2073.1660000000002"/>
    <n v="182.1"/>
    <n v="20"/>
    <n v="10"/>
    <s v="A|B|C"/>
    <n v="8"/>
    <n v="10"/>
    <n v="0"/>
    <n v="0"/>
    <n v="0"/>
    <n v="18"/>
  </r>
  <r>
    <d v="2026-03-25T00:00:00"/>
    <s v="20/03/2026"/>
    <x v="5"/>
    <x v="0"/>
    <x v="127"/>
    <x v="125"/>
    <x v="3"/>
    <x v="3"/>
    <m/>
    <x v="5"/>
    <x v="1"/>
    <n v="27452"/>
    <n v="42"/>
    <n v="8"/>
    <n v="830.97"/>
    <n v="20.440000000000001"/>
    <n v="0"/>
    <n v="4"/>
    <s v="A|B|C"/>
    <n v="4"/>
    <n v="3"/>
    <n v="0"/>
    <n v="0"/>
    <n v="0"/>
    <n v="7"/>
  </r>
  <r>
    <d v="2026-03-25T00:00:00"/>
    <s v="20/03/2026"/>
    <x v="5"/>
    <x v="0"/>
    <x v="128"/>
    <x v="122"/>
    <x v="3"/>
    <x v="3"/>
    <m/>
    <x v="0"/>
    <x v="1"/>
    <n v="27452"/>
    <n v="44"/>
    <n v="12"/>
    <n v="1101.452"/>
    <n v="84.75"/>
    <n v="20"/>
    <n v="4"/>
    <s v="A|B|C"/>
    <n v="4"/>
    <n v="5"/>
    <n v="2"/>
    <n v="0"/>
    <n v="0"/>
    <n v="11"/>
  </r>
  <r>
    <d v="2026-03-25T00:00:00"/>
    <s v="20/03/2026"/>
    <x v="5"/>
    <x v="0"/>
    <x v="129"/>
    <x v="126"/>
    <x v="3"/>
    <x v="3"/>
    <m/>
    <x v="5"/>
    <x v="1"/>
    <n v="27452"/>
    <n v="33"/>
    <n v="8"/>
    <n v="775.90300000000002"/>
    <n v="82.8"/>
    <n v="30"/>
    <n v="4"/>
    <s v="A|B|C"/>
    <n v="4"/>
    <n v="3"/>
    <n v="1"/>
    <n v="0"/>
    <n v="0"/>
    <n v="8"/>
  </r>
  <r>
    <d v="2026-03-25T00:00:00"/>
    <s v="20/03/2026"/>
    <x v="5"/>
    <x v="0"/>
    <x v="99"/>
    <x v="97"/>
    <x v="3"/>
    <x v="3"/>
    <m/>
    <x v="5"/>
    <x v="1"/>
    <n v="27452"/>
    <n v="23"/>
    <n v="6"/>
    <n v="460.63499999999999"/>
    <n v="137.19999999999999"/>
    <n v="30"/>
    <n v="3"/>
    <s v="A|B|C"/>
    <n v="2"/>
    <n v="1"/>
    <n v="2"/>
    <n v="0"/>
    <n v="0"/>
    <n v="5"/>
  </r>
  <r>
    <d v="2026-03-25T00:00:00"/>
    <s v="20/03/2026"/>
    <x v="5"/>
    <x v="0"/>
    <x v="131"/>
    <x v="128"/>
    <x v="3"/>
    <x v="3"/>
    <m/>
    <x v="0"/>
    <x v="1"/>
    <n v="27452"/>
    <n v="72"/>
    <n v="12"/>
    <n v="970.596"/>
    <n v="187"/>
    <n v="30"/>
    <n v="5"/>
    <s v="A|B|C"/>
    <n v="4"/>
    <n v="4"/>
    <n v="1"/>
    <n v="0"/>
    <n v="0"/>
    <n v="9"/>
  </r>
  <r>
    <d v="2026-03-25T00:00:00"/>
    <s v="20/03/2026"/>
    <x v="5"/>
    <x v="0"/>
    <x v="101"/>
    <x v="99"/>
    <x v="3"/>
    <x v="3"/>
    <m/>
    <x v="0"/>
    <x v="1"/>
    <n v="27452"/>
    <n v="36"/>
    <n v="6"/>
    <n v="1009.998"/>
    <n v="19.5"/>
    <n v="30"/>
    <n v="3"/>
    <s v="A|B|C"/>
    <n v="4"/>
    <n v="2"/>
    <n v="1"/>
    <n v="0"/>
    <n v="0"/>
    <n v="7"/>
  </r>
  <r>
    <d v="2026-03-25T00:00:00"/>
    <s v="20/03/2026"/>
    <x v="5"/>
    <x v="0"/>
    <x v="16"/>
    <x v="15"/>
    <x v="3"/>
    <x v="3"/>
    <m/>
    <x v="0"/>
    <x v="1"/>
    <n v="27452"/>
    <n v="8"/>
    <n v="2"/>
    <n v="254.922"/>
    <n v="0.2"/>
    <n v="55"/>
    <n v="1"/>
    <s v="A|B|C"/>
    <n v="1"/>
    <n v="1"/>
    <n v="0"/>
    <n v="0"/>
    <n v="0"/>
    <n v="2"/>
  </r>
  <r>
    <d v="2026-03-25T00:00:00"/>
    <s v="20/03/2026"/>
    <x v="5"/>
    <x v="0"/>
    <x v="132"/>
    <x v="129"/>
    <x v="3"/>
    <x v="3"/>
    <m/>
    <x v="5"/>
    <x v="1"/>
    <n v="27452"/>
    <n v="41"/>
    <n v="10"/>
    <n v="1010.375"/>
    <n v="45.5"/>
    <n v="30"/>
    <n v="5"/>
    <s v="A|B|C"/>
    <n v="3"/>
    <n v="3"/>
    <n v="2"/>
    <n v="0"/>
    <n v="0"/>
    <n v="8"/>
  </r>
  <r>
    <d v="2026-03-25T00:00:00"/>
    <s v="20/03/2026"/>
    <x v="5"/>
    <x v="0"/>
    <x v="19"/>
    <x v="18"/>
    <x v="3"/>
    <x v="3"/>
    <m/>
    <x v="0"/>
    <x v="1"/>
    <n v="27452"/>
    <n v="10"/>
    <n v="2"/>
    <n v="264.80500000000001"/>
    <n v="0.2"/>
    <n v="90"/>
    <n v="1"/>
    <s v="A|B|C"/>
    <n v="1"/>
    <n v="1"/>
    <n v="0"/>
    <n v="0"/>
    <n v="0"/>
    <n v="2"/>
  </r>
  <r>
    <d v="2026-03-26T00:00:00"/>
    <s v="20/03/2026"/>
    <x v="5"/>
    <x v="0"/>
    <x v="133"/>
    <x v="130"/>
    <x v="3"/>
    <x v="3"/>
    <m/>
    <x v="0"/>
    <x v="1"/>
    <n v="27452"/>
    <n v="20"/>
    <n v="4"/>
    <n v="546.22"/>
    <n v="0.4"/>
    <n v="30"/>
    <n v="2"/>
    <s v="A|B|C"/>
    <n v="2"/>
    <n v="2"/>
    <n v="0"/>
    <n v="0"/>
    <n v="0"/>
    <n v="4"/>
  </r>
  <r>
    <d v="2026-03-26T00:00:00"/>
    <s v="20/03/2026"/>
    <x v="5"/>
    <x v="0"/>
    <x v="134"/>
    <x v="131"/>
    <x v="3"/>
    <x v="3"/>
    <m/>
    <x v="5"/>
    <x v="1"/>
    <n v="27452"/>
    <n v="64"/>
    <n v="19"/>
    <n v="2759.7710000000002"/>
    <n v="318.8"/>
    <n v="30"/>
    <n v="8"/>
    <s v="A|B|C"/>
    <n v="9"/>
    <n v="7"/>
    <n v="2"/>
    <n v="0"/>
    <n v="0"/>
    <n v="18"/>
  </r>
  <r>
    <d v="2026-03-26T00:00:00"/>
    <s v="20/03/2026"/>
    <x v="5"/>
    <x v="0"/>
    <x v="135"/>
    <x v="132"/>
    <x v="3"/>
    <x v="3"/>
    <m/>
    <x v="5"/>
    <x v="1"/>
    <n v="27452"/>
    <n v="92"/>
    <n v="18"/>
    <n v="1897.1320000000001"/>
    <n v="176.6"/>
    <n v="15"/>
    <n v="8"/>
    <s v="A|B|C"/>
    <n v="9"/>
    <n v="8"/>
    <n v="1"/>
    <n v="0"/>
    <n v="0"/>
    <n v="18"/>
  </r>
  <r>
    <d v="2026-03-26T00:00:00"/>
    <s v="20/03/2026"/>
    <x v="5"/>
    <x v="0"/>
    <x v="59"/>
    <x v="58"/>
    <x v="3"/>
    <x v="3"/>
    <m/>
    <x v="5"/>
    <x v="1"/>
    <n v="27452"/>
    <n v="62"/>
    <n v="14"/>
    <n v="1382.9659999999999"/>
    <n v="143.80000000000001"/>
    <n v="20"/>
    <n v="7"/>
    <s v="A|B|C"/>
    <n v="7"/>
    <n v="6"/>
    <n v="1"/>
    <n v="0"/>
    <n v="0"/>
    <n v="14"/>
  </r>
  <r>
    <d v="2026-03-26T00:00:00"/>
    <s v="20/03/2026"/>
    <x v="5"/>
    <x v="0"/>
    <x v="136"/>
    <x v="133"/>
    <x v="3"/>
    <x v="3"/>
    <m/>
    <x v="5"/>
    <x v="1"/>
    <n v="27452"/>
    <n v="13"/>
    <n v="18"/>
    <n v="137.44900000000001"/>
    <n v="211.5"/>
    <n v="11"/>
    <n v="5"/>
    <s v="A|B|C"/>
    <n v="5"/>
    <n v="0"/>
    <n v="0"/>
    <n v="0"/>
    <n v="0"/>
    <n v="5"/>
  </r>
  <r>
    <d v="2026-03-26T00:00:00"/>
    <s v="20/03/2026"/>
    <x v="5"/>
    <x v="0"/>
    <x v="137"/>
    <x v="134"/>
    <x v="3"/>
    <x v="3"/>
    <m/>
    <x v="5"/>
    <x v="1"/>
    <n v="27452"/>
    <n v="12"/>
    <n v="17"/>
    <n v="117.396"/>
    <n v="194.7"/>
    <n v="0"/>
    <n v="0"/>
    <s v="A|B|C"/>
    <n v="0"/>
    <n v="4"/>
    <n v="1"/>
    <n v="0"/>
    <n v="0"/>
    <n v="5"/>
  </r>
  <r>
    <d v="2026-03-26T00:00:00"/>
    <s v="20/03/2026"/>
    <x v="5"/>
    <x v="0"/>
    <x v="138"/>
    <x v="119"/>
    <x v="3"/>
    <x v="3"/>
    <m/>
    <x v="5"/>
    <x v="1"/>
    <n v="27452"/>
    <n v="42"/>
    <n v="12"/>
    <n v="1287.4259999999999"/>
    <n v="99.89"/>
    <n v="20"/>
    <n v="5"/>
    <s v="A|B|C"/>
    <n v="4"/>
    <n v="3"/>
    <n v="2"/>
    <n v="0"/>
    <n v="0"/>
    <n v="9"/>
  </r>
  <r>
    <d v="2026-03-26T00:00:00"/>
    <s v="20/03/2026"/>
    <x v="5"/>
    <x v="0"/>
    <x v="139"/>
    <x v="135"/>
    <x v="3"/>
    <x v="3"/>
    <m/>
    <x v="5"/>
    <x v="1"/>
    <n v="27452"/>
    <n v="70"/>
    <n v="18"/>
    <n v="1665.53"/>
    <n v="177.4"/>
    <n v="30"/>
    <n v="9"/>
    <s v="A|B|C"/>
    <n v="9"/>
    <n v="6"/>
    <n v="3"/>
    <n v="0"/>
    <n v="0"/>
    <n v="18"/>
  </r>
  <r>
    <d v="2026-03-26T00:00:00"/>
    <s v="20/03/2026"/>
    <x v="5"/>
    <x v="0"/>
    <x v="140"/>
    <x v="136"/>
    <x v="3"/>
    <x v="3"/>
    <m/>
    <x v="5"/>
    <x v="1"/>
    <n v="27452"/>
    <n v="18"/>
    <n v="22"/>
    <n v="215.46"/>
    <n v="313.7"/>
    <n v="25"/>
    <n v="5"/>
    <s v="A|B|C"/>
    <n v="5"/>
    <n v="2"/>
    <n v="1"/>
    <n v="0"/>
    <n v="0"/>
    <n v="8"/>
  </r>
  <r>
    <d v="2026-03-26T00:00:00"/>
    <s v="20/03/2026"/>
    <x v="5"/>
    <x v="0"/>
    <x v="141"/>
    <x v="137"/>
    <x v="3"/>
    <x v="3"/>
    <m/>
    <x v="5"/>
    <x v="1"/>
    <n v="27452"/>
    <n v="8"/>
    <n v="7"/>
    <n v="95.936000000000007"/>
    <n v="103.5"/>
    <n v="0"/>
    <n v="0"/>
    <s v="A|B|C"/>
    <n v="0"/>
    <n v="1"/>
    <n v="1"/>
    <n v="0"/>
    <n v="0"/>
    <n v="2"/>
  </r>
  <r>
    <d v="2026-03-26T00:00:00"/>
    <s v="20/03/2026"/>
    <x v="5"/>
    <x v="0"/>
    <x v="61"/>
    <x v="60"/>
    <x v="3"/>
    <x v="3"/>
    <m/>
    <x v="5"/>
    <x v="1"/>
    <n v="27452"/>
    <n v="48"/>
    <n v="12"/>
    <n v="2407.9870000000001"/>
    <n v="137.6"/>
    <n v="30"/>
    <n v="6"/>
    <s v="A|B|C"/>
    <n v="6"/>
    <n v="5"/>
    <n v="2"/>
    <n v="0"/>
    <n v="0"/>
    <n v="13"/>
  </r>
  <r>
    <d v="2026-03-26T00:00:00"/>
    <s v="20/03/2026"/>
    <x v="5"/>
    <x v="0"/>
    <x v="142"/>
    <x v="138"/>
    <x v="3"/>
    <x v="3"/>
    <m/>
    <x v="5"/>
    <x v="1"/>
    <n v="27452"/>
    <n v="28"/>
    <n v="7"/>
    <n v="889.01199999999994"/>
    <n v="48.7"/>
    <n v="30"/>
    <n v="3"/>
    <s v="A|B|C"/>
    <n v="2"/>
    <n v="2"/>
    <n v="0"/>
    <n v="0"/>
    <n v="0"/>
    <n v="4"/>
  </r>
  <r>
    <d v="2026-03-26T00:00:00"/>
    <s v="20/03/2026"/>
    <x v="5"/>
    <x v="0"/>
    <x v="46"/>
    <x v="45"/>
    <x v="3"/>
    <x v="3"/>
    <m/>
    <x v="0"/>
    <x v="1"/>
    <n v="27452"/>
    <n v="30"/>
    <n v="6"/>
    <n v="520.37900000000002"/>
    <n v="19.5"/>
    <n v="20"/>
    <n v="3"/>
    <s v="A|B|C"/>
    <n v="3"/>
    <n v="3"/>
    <n v="0"/>
    <n v="0"/>
    <n v="0"/>
    <n v="6"/>
  </r>
  <r>
    <d v="2026-03-26T00:00:00"/>
    <s v="20/03/2026"/>
    <x v="5"/>
    <x v="0"/>
    <x v="118"/>
    <x v="116"/>
    <x v="3"/>
    <x v="3"/>
    <m/>
    <x v="0"/>
    <x v="1"/>
    <n v="27452"/>
    <n v="35"/>
    <n v="6"/>
    <n v="549.22400000000005"/>
    <n v="4.8"/>
    <n v="30"/>
    <n v="3"/>
    <s v="A|B|C"/>
    <n v="3"/>
    <n v="3"/>
    <n v="0"/>
    <n v="0"/>
    <n v="0"/>
    <n v="6"/>
  </r>
  <r>
    <d v="2026-03-26T00:00:00"/>
    <s v="20/03/2026"/>
    <x v="5"/>
    <x v="0"/>
    <x v="24"/>
    <x v="23"/>
    <x v="3"/>
    <x v="3"/>
    <m/>
    <x v="0"/>
    <x v="1"/>
    <n v="27452"/>
    <n v="20"/>
    <n v="4"/>
    <n v="451.03"/>
    <n v="0.4"/>
    <n v="25"/>
    <n v="2"/>
    <s v="A|B|C"/>
    <n v="2"/>
    <n v="2"/>
    <n v="0"/>
    <n v="0"/>
    <n v="0"/>
    <n v="4"/>
  </r>
  <r>
    <d v="2026-03-26T00:00:00"/>
    <s v="20/03/2026"/>
    <x v="5"/>
    <x v="0"/>
    <x v="25"/>
    <x v="24"/>
    <x v="3"/>
    <x v="3"/>
    <m/>
    <x v="0"/>
    <x v="1"/>
    <n v="27452"/>
    <n v="24"/>
    <n v="4"/>
    <n v="569.75400000000002"/>
    <n v="20.8"/>
    <n v="16"/>
    <n v="2"/>
    <s v="A|B|C"/>
    <n v="4"/>
    <n v="0"/>
    <n v="2"/>
    <n v="0"/>
    <n v="0"/>
    <n v="6"/>
  </r>
  <r>
    <d v="2026-03-26T00:00:00"/>
    <s v="20/03/2026"/>
    <x v="5"/>
    <x v="0"/>
    <x v="27"/>
    <x v="26"/>
    <x v="3"/>
    <x v="3"/>
    <m/>
    <x v="0"/>
    <x v="1"/>
    <n v="27452"/>
    <n v="21"/>
    <n v="4"/>
    <n v="428.57100000000003"/>
    <n v="9.5"/>
    <n v="35"/>
    <n v="2"/>
    <s v="A|B|C"/>
    <n v="2"/>
    <n v="2"/>
    <n v="0"/>
    <n v="0"/>
    <n v="0"/>
    <n v="4"/>
  </r>
  <r>
    <d v="2026-03-26T00:00:00"/>
    <s v="20/03/2026"/>
    <x v="5"/>
    <x v="0"/>
    <x v="104"/>
    <x v="102"/>
    <x v="3"/>
    <x v="3"/>
    <m/>
    <x v="0"/>
    <x v="1"/>
    <n v="27452"/>
    <n v="30"/>
    <n v="6"/>
    <n v="715.44"/>
    <n v="12.9"/>
    <n v="25"/>
    <n v="3"/>
    <s v="A|B|C"/>
    <n v="3"/>
    <n v="3"/>
    <n v="0"/>
    <n v="0"/>
    <n v="0"/>
    <n v="6"/>
  </r>
  <r>
    <d v="2026-03-26T00:00:00"/>
    <s v="20/03/2026"/>
    <x v="5"/>
    <x v="7"/>
    <x v="143"/>
    <x v="139"/>
    <x v="3"/>
    <x v="3"/>
    <m/>
    <x v="5"/>
    <x v="1"/>
    <n v="27452"/>
    <n v="18"/>
    <n v="2"/>
    <n v="374.77800000000002"/>
    <n v="13.1"/>
    <n v="60"/>
    <n v="1"/>
    <s v="A|B|C"/>
    <n v="1"/>
    <n v="1"/>
    <n v="0"/>
    <n v="0"/>
    <n v="0"/>
    <n v="2"/>
  </r>
  <r>
    <d v="2026-03-26T00:00:00"/>
    <s v="20/03/2026"/>
    <x v="5"/>
    <x v="3"/>
    <x v="144"/>
    <x v="140"/>
    <x v="3"/>
    <x v="3"/>
    <m/>
    <x v="5"/>
    <x v="1"/>
    <n v="27452"/>
    <n v="44"/>
    <n v="12"/>
    <n v="557.26400000000001"/>
    <n v="155"/>
    <n v="20"/>
    <n v="4"/>
    <s v="A|B|C"/>
    <n v="5"/>
    <n v="1"/>
    <n v="2"/>
    <n v="0"/>
    <n v="0"/>
    <n v="8"/>
  </r>
  <r>
    <d v="2026-03-26T00:00:00"/>
    <s v="20/03/2026"/>
    <x v="5"/>
    <x v="3"/>
    <x v="145"/>
    <x v="141"/>
    <x v="3"/>
    <x v="3"/>
    <m/>
    <x v="5"/>
    <x v="1"/>
    <n v="27452"/>
    <n v="68"/>
    <n v="8"/>
    <n v="613.49599999999998"/>
    <n v="95.6"/>
    <n v="14"/>
    <n v="4"/>
    <s v="A|B|C"/>
    <n v="4"/>
    <n v="3"/>
    <n v="1"/>
    <n v="0"/>
    <n v="0"/>
    <n v="8"/>
  </r>
  <r>
    <d v="2026-03-26T00:00:00"/>
    <s v="20/03/2026"/>
    <x v="5"/>
    <x v="3"/>
    <x v="146"/>
    <x v="142"/>
    <x v="3"/>
    <x v="3"/>
    <m/>
    <x v="5"/>
    <x v="1"/>
    <n v="27452"/>
    <n v="43"/>
    <n v="6"/>
    <n v="640.30899999999997"/>
    <n v="66.3"/>
    <n v="20"/>
    <n v="3"/>
    <s v="A|B|C"/>
    <n v="2"/>
    <n v="3"/>
    <n v="0"/>
    <n v="0"/>
    <n v="0"/>
    <n v="5"/>
  </r>
  <r>
    <d v="2026-03-26T00:00:00"/>
    <s v="20/03/2026"/>
    <x v="5"/>
    <x v="3"/>
    <x v="147"/>
    <x v="143"/>
    <x v="3"/>
    <x v="3"/>
    <m/>
    <x v="5"/>
    <x v="1"/>
    <n v="27452"/>
    <n v="178"/>
    <n v="28"/>
    <n v="2490.328"/>
    <n v="149.19999999999999"/>
    <n v="6"/>
    <n v="14"/>
    <s v="A|B|C"/>
    <n v="13"/>
    <n v="12"/>
    <n v="1"/>
    <n v="0"/>
    <n v="0"/>
    <n v="26"/>
  </r>
  <r>
    <d v="2026-03-26T00:00:00"/>
    <s v="20/03/2026"/>
    <x v="5"/>
    <x v="3"/>
    <x v="148"/>
    <x v="144"/>
    <x v="3"/>
    <x v="3"/>
    <m/>
    <x v="5"/>
    <x v="1"/>
    <n v="27452"/>
    <n v="69"/>
    <n v="8"/>
    <n v="603.47400000000005"/>
    <n v="42.8"/>
    <n v="15"/>
    <n v="4"/>
    <s v="A|B|C"/>
    <n v="4"/>
    <n v="3"/>
    <n v="0"/>
    <n v="0"/>
    <n v="0"/>
    <n v="7"/>
  </r>
  <r>
    <d v="2026-03-26T00:00:00"/>
    <s v="20/03/2026"/>
    <x v="5"/>
    <x v="3"/>
    <x v="163"/>
    <x v="159"/>
    <x v="3"/>
    <x v="3"/>
    <m/>
    <x v="0"/>
    <x v="1"/>
    <n v="27452"/>
    <n v="40"/>
    <n v="2"/>
    <n v="148.24"/>
    <n v="4.7"/>
    <n v="30"/>
    <n v="1"/>
    <s v="A|B|C"/>
    <n v="2"/>
    <n v="0"/>
    <n v="1"/>
    <n v="0"/>
    <n v="0"/>
    <n v="3"/>
  </r>
  <r>
    <d v="2026-03-26T00:00:00"/>
    <s v="20/03/2026"/>
    <x v="5"/>
    <x v="3"/>
    <x v="149"/>
    <x v="145"/>
    <x v="3"/>
    <x v="3"/>
    <m/>
    <x v="5"/>
    <x v="1"/>
    <n v="27452"/>
    <n v="31"/>
    <n v="4"/>
    <n v="560.899"/>
    <n v="47.8"/>
    <n v="30"/>
    <n v="2"/>
    <s v="A|B|C"/>
    <n v="2"/>
    <n v="2"/>
    <n v="0"/>
    <n v="0"/>
    <n v="0"/>
    <n v="4"/>
  </r>
  <r>
    <d v="2026-03-26T00:00:00"/>
    <s v="20/03/2026"/>
    <x v="5"/>
    <x v="3"/>
    <x v="150"/>
    <x v="146"/>
    <x v="3"/>
    <x v="3"/>
    <m/>
    <x v="5"/>
    <x v="1"/>
    <n v="27452"/>
    <n v="94"/>
    <n v="22"/>
    <n v="1899.0419999999999"/>
    <n v="125.9"/>
    <n v="20"/>
    <n v="9"/>
    <s v="A|B|C"/>
    <n v="11"/>
    <n v="9"/>
    <n v="0"/>
    <n v="0"/>
    <n v="0"/>
    <n v="20"/>
  </r>
  <r>
    <d v="2026-03-26T00:00:00"/>
    <s v="20/03/2026"/>
    <x v="5"/>
    <x v="3"/>
    <x v="151"/>
    <x v="147"/>
    <x v="3"/>
    <x v="3"/>
    <m/>
    <x v="5"/>
    <x v="1"/>
    <n v="27452"/>
    <n v="75"/>
    <n v="12"/>
    <n v="1243.8320000000001"/>
    <n v="56.3"/>
    <n v="30"/>
    <n v="6"/>
    <s v="A|B|C"/>
    <n v="6"/>
    <n v="6"/>
    <n v="0"/>
    <n v="0"/>
    <n v="0"/>
    <n v="12"/>
  </r>
  <r>
    <d v="2026-03-26T00:00:00"/>
    <s v="20/03/2026"/>
    <x v="5"/>
    <x v="3"/>
    <x v="152"/>
    <x v="148"/>
    <x v="3"/>
    <x v="3"/>
    <m/>
    <x v="0"/>
    <x v="1"/>
    <n v="27452"/>
    <n v="25"/>
    <n v="2"/>
    <n v="223.6"/>
    <n v="0.2"/>
    <n v="14"/>
    <n v="1"/>
    <s v="A|B|C"/>
    <n v="1"/>
    <n v="1"/>
    <n v="0"/>
    <n v="0"/>
    <n v="0"/>
    <n v="2"/>
  </r>
  <r>
    <d v="2026-03-26T00:00:00"/>
    <s v="20/03/2026"/>
    <x v="5"/>
    <x v="3"/>
    <x v="153"/>
    <x v="149"/>
    <x v="3"/>
    <x v="3"/>
    <m/>
    <x v="5"/>
    <x v="1"/>
    <n v="27452"/>
    <n v="38"/>
    <n v="4"/>
    <n v="488.255"/>
    <n v="20.56"/>
    <n v="30"/>
    <n v="2"/>
    <s v="A|B|C"/>
    <n v="3"/>
    <n v="1"/>
    <n v="1"/>
    <n v="0"/>
    <n v="0"/>
    <n v="5"/>
  </r>
  <r>
    <d v="2026-03-26T00:00:00"/>
    <s v="20/03/2026"/>
    <x v="5"/>
    <x v="3"/>
    <x v="154"/>
    <x v="150"/>
    <x v="3"/>
    <x v="3"/>
    <m/>
    <x v="5"/>
    <x v="1"/>
    <n v="27452"/>
    <n v="38"/>
    <n v="5"/>
    <n v="1026.44"/>
    <n v="42.9"/>
    <n v="30"/>
    <n v="3"/>
    <s v="A|B|C"/>
    <n v="6"/>
    <n v="2"/>
    <n v="2"/>
    <n v="0"/>
    <n v="0"/>
    <n v="10"/>
  </r>
  <r>
    <d v="2026-03-26T00:00:00"/>
    <s v="20/03/2026"/>
    <x v="5"/>
    <x v="3"/>
    <x v="155"/>
    <x v="151"/>
    <x v="3"/>
    <x v="3"/>
    <m/>
    <x v="5"/>
    <x v="1"/>
    <n v="27452"/>
    <n v="51"/>
    <n v="12"/>
    <n v="1866.029"/>
    <n v="88"/>
    <n v="20"/>
    <n v="5"/>
    <s v="A|B|C"/>
    <n v="6"/>
    <n v="5"/>
    <n v="1"/>
    <n v="0"/>
    <n v="0"/>
    <n v="12"/>
  </r>
  <r>
    <d v="2026-03-26T00:00:00"/>
    <s v="20/03/2026"/>
    <x v="5"/>
    <x v="3"/>
    <x v="156"/>
    <x v="152"/>
    <x v="3"/>
    <x v="3"/>
    <m/>
    <x v="5"/>
    <x v="1"/>
    <n v="27452"/>
    <n v="31"/>
    <n v="5"/>
    <n v="538.87300000000005"/>
    <n v="35.4"/>
    <n v="30"/>
    <n v="2"/>
    <s v="A|B|C"/>
    <n v="1"/>
    <n v="1"/>
    <n v="0"/>
    <n v="0"/>
    <n v="0"/>
    <n v="2"/>
  </r>
  <r>
    <d v="2026-03-26T00:00:00"/>
    <s v="20/03/2026"/>
    <x v="5"/>
    <x v="3"/>
    <x v="68"/>
    <x v="67"/>
    <x v="3"/>
    <x v="3"/>
    <m/>
    <x v="5"/>
    <x v="1"/>
    <n v="27452"/>
    <n v="21"/>
    <n v="4"/>
    <n v="455.74299999999999"/>
    <n v="51.6"/>
    <n v="30"/>
    <n v="2"/>
    <s v="A|B|C"/>
    <n v="1"/>
    <n v="2"/>
    <n v="0"/>
    <n v="0"/>
    <n v="0"/>
    <n v="3"/>
  </r>
  <r>
    <d v="2026-03-26T00:00:00"/>
    <s v="20/03/2026"/>
    <x v="5"/>
    <x v="3"/>
    <x v="157"/>
    <x v="153"/>
    <x v="3"/>
    <x v="3"/>
    <m/>
    <x v="5"/>
    <x v="1"/>
    <n v="27452"/>
    <n v="39"/>
    <n v="6"/>
    <n v="654.82899999999995"/>
    <n v="48.4"/>
    <n v="25"/>
    <n v="4"/>
    <s v="A|B|C"/>
    <n v="4"/>
    <n v="1"/>
    <n v="2"/>
    <n v="0"/>
    <n v="0"/>
    <n v="7"/>
  </r>
  <r>
    <d v="2026-03-26T00:00:00"/>
    <s v="20/03/2026"/>
    <x v="5"/>
    <x v="3"/>
    <x v="158"/>
    <x v="154"/>
    <x v="3"/>
    <x v="3"/>
    <m/>
    <x v="5"/>
    <x v="1"/>
    <n v="27452"/>
    <n v="57"/>
    <n v="12"/>
    <n v="1659.8989999999999"/>
    <n v="85.2"/>
    <n v="20"/>
    <n v="6"/>
    <s v="A|B|C"/>
    <n v="6"/>
    <n v="5"/>
    <n v="0"/>
    <n v="0"/>
    <n v="0"/>
    <n v="11"/>
  </r>
  <r>
    <d v="2026-03-26T00:00:00"/>
    <s v="20/03/2026"/>
    <x v="5"/>
    <x v="3"/>
    <x v="159"/>
    <x v="155"/>
    <x v="3"/>
    <x v="3"/>
    <m/>
    <x v="5"/>
    <x v="1"/>
    <n v="27452"/>
    <n v="61"/>
    <n v="16"/>
    <n v="1936.0309999999999"/>
    <n v="115.8"/>
    <n v="15"/>
    <n v="7"/>
    <s v="A|B|C"/>
    <n v="7"/>
    <n v="5"/>
    <n v="1"/>
    <n v="0"/>
    <n v="0"/>
    <n v="13"/>
  </r>
  <r>
    <d v="2026-03-26T00:00:00"/>
    <s v="20/03/2026"/>
    <x v="5"/>
    <x v="3"/>
    <x v="160"/>
    <x v="156"/>
    <x v="3"/>
    <x v="3"/>
    <m/>
    <x v="5"/>
    <x v="1"/>
    <n v="27452"/>
    <n v="52"/>
    <n v="6"/>
    <n v="662.94299999999998"/>
    <n v="72.900000000000006"/>
    <n v="20"/>
    <n v="3"/>
    <s v="A|B|C"/>
    <n v="4"/>
    <n v="3"/>
    <n v="0"/>
    <n v="0"/>
    <n v="0"/>
    <n v="7"/>
  </r>
  <r>
    <d v="2026-03-26T00:00:00"/>
    <s v="20/03/2026"/>
    <x v="5"/>
    <x v="3"/>
    <x v="43"/>
    <x v="42"/>
    <x v="3"/>
    <x v="3"/>
    <m/>
    <x v="1"/>
    <x v="1"/>
    <n v="27452"/>
    <n v="22"/>
    <n v="4"/>
    <n v="301.97199999999998"/>
    <n v="0.4"/>
    <n v="20"/>
    <n v="2"/>
    <s v="A|B|C"/>
    <n v="2"/>
    <n v="2"/>
    <n v="0"/>
    <n v="0"/>
    <n v="0"/>
    <n v="4"/>
  </r>
  <r>
    <d v="2026-03-20T00:00:00"/>
    <s v="20/03/2026"/>
    <x v="5"/>
    <x v="0"/>
    <x v="161"/>
    <x v="157"/>
    <x v="3"/>
    <x v="3"/>
    <m/>
    <x v="5"/>
    <x v="1"/>
    <n v="27452"/>
    <n v="51"/>
    <n v="16"/>
    <n v="2017.3050000000001"/>
    <n v="102.4"/>
    <n v="20"/>
    <n v="8"/>
    <s v="A|B|C"/>
    <n v="10"/>
    <n v="5"/>
    <n v="4"/>
    <n v="0"/>
    <n v="0"/>
    <n v="19"/>
  </r>
  <r>
    <d v="2026-03-20T00:00:00"/>
    <s v="20/03/2026"/>
    <x v="5"/>
    <x v="7"/>
    <x v="162"/>
    <x v="158"/>
    <x v="3"/>
    <x v="3"/>
    <m/>
    <x v="5"/>
    <x v="1"/>
    <n v="27452"/>
    <n v="18"/>
    <n v="2"/>
    <n v="384.87400000000002"/>
    <n v="23.9"/>
    <n v="60"/>
    <n v="1"/>
    <s v="A|B|C"/>
    <n v="1"/>
    <n v="1"/>
    <n v="0"/>
    <n v="0"/>
    <n v="0"/>
    <n v="2"/>
  </r>
  <r>
    <d v="2026-03-20T00:00:00"/>
    <s v="20/03/2026"/>
    <x v="5"/>
    <x v="1"/>
    <x v="115"/>
    <x v="113"/>
    <x v="3"/>
    <x v="3"/>
    <m/>
    <x v="0"/>
    <x v="1"/>
    <n v="27452"/>
    <n v="69"/>
    <n v="15"/>
    <n v="1595.6369999999999"/>
    <n v="211.5"/>
    <n v="20"/>
    <n v="7"/>
    <s v="A|B|C"/>
    <n v="8"/>
    <n v="6"/>
    <n v="2"/>
    <n v="0"/>
    <n v="0"/>
    <n v="16"/>
  </r>
  <r>
    <d v="2026-03-20T00:00:00"/>
    <s v="20/03/2026"/>
    <x v="5"/>
    <x v="1"/>
    <x v="47"/>
    <x v="46"/>
    <x v="3"/>
    <x v="3"/>
    <m/>
    <x v="0"/>
    <x v="1"/>
    <n v="27452"/>
    <n v="32"/>
    <n v="6"/>
    <n v="992.44500000000005"/>
    <n v="0.6"/>
    <n v="20"/>
    <n v="3"/>
    <s v="A|B|C"/>
    <n v="3"/>
    <n v="3"/>
    <n v="0"/>
    <n v="0"/>
    <n v="0"/>
    <n v="6"/>
  </r>
  <r>
    <d v="2026-03-20T00:00:00"/>
    <s v="20/03/2026"/>
    <x v="5"/>
    <x v="1"/>
    <x v="44"/>
    <x v="43"/>
    <x v="3"/>
    <x v="3"/>
    <m/>
    <x v="3"/>
    <x v="1"/>
    <n v="27452"/>
    <n v="10"/>
    <n v="2"/>
    <n v="309.65499999999997"/>
    <n v="6.5"/>
    <n v="20"/>
    <n v="1"/>
    <s v="A|B|C"/>
    <n v="1"/>
    <n v="1"/>
    <n v="0"/>
    <n v="0"/>
    <n v="0"/>
    <n v="2"/>
  </r>
  <r>
    <d v="2026-03-20T00:00:00"/>
    <s v="20/03/2026"/>
    <x v="5"/>
    <x v="1"/>
    <x v="117"/>
    <x v="115"/>
    <x v="3"/>
    <x v="3"/>
    <m/>
    <x v="0"/>
    <x v="1"/>
    <n v="27452"/>
    <n v="30"/>
    <n v="7"/>
    <n v="871.06500000000005"/>
    <n v="132.30000000000001"/>
    <n v="30"/>
    <n v="4"/>
    <s v="A|B|C"/>
    <n v="3"/>
    <n v="3"/>
    <n v="0"/>
    <n v="0"/>
    <n v="0"/>
    <n v="6"/>
  </r>
  <r>
    <d v="2026-03-20T00:00:00"/>
    <s v="20/03/2026"/>
    <x v="5"/>
    <x v="1"/>
    <x v="93"/>
    <x v="92"/>
    <x v="3"/>
    <x v="3"/>
    <m/>
    <x v="0"/>
    <x v="1"/>
    <n v="27452"/>
    <n v="14"/>
    <n v="2"/>
    <n v="688.8"/>
    <n v="0.2"/>
    <n v="30"/>
    <n v="1"/>
    <s v="A|B|C"/>
    <n v="1"/>
    <n v="1"/>
    <n v="0"/>
    <n v="0"/>
    <n v="0"/>
    <n v="2"/>
  </r>
  <r>
    <d v="2026-03-20T00:00:00"/>
    <s v="20/03/2026"/>
    <x v="5"/>
    <x v="0"/>
    <x v="120"/>
    <x v="118"/>
    <x v="3"/>
    <x v="3"/>
    <m/>
    <x v="5"/>
    <x v="2"/>
    <n v="27454"/>
    <n v="80"/>
    <n v="14"/>
    <n v="1368.68"/>
    <n v="73.400000000000006"/>
    <n v="25"/>
    <n v="6"/>
    <s v="A|B|C"/>
    <n v="6"/>
    <n v="5"/>
    <n v="1"/>
    <n v="0"/>
    <n v="0"/>
    <n v="12"/>
  </r>
  <r>
    <d v="2026-03-20T00:00:00"/>
    <s v="20/03/2026"/>
    <x v="5"/>
    <x v="0"/>
    <x v="0"/>
    <x v="0"/>
    <x v="3"/>
    <x v="3"/>
    <m/>
    <x v="0"/>
    <x v="2"/>
    <n v="27454"/>
    <n v="16"/>
    <n v="8"/>
    <n v="599.798"/>
    <n v="176.6"/>
    <n v="20"/>
    <n v="4"/>
    <s v="A|B|C"/>
    <n v="1"/>
    <n v="4"/>
    <n v="0"/>
    <n v="0"/>
    <n v="0"/>
    <n v="5"/>
  </r>
  <r>
    <d v="2026-03-20T00:00:00"/>
    <s v="20/03/2026"/>
    <x v="5"/>
    <x v="0"/>
    <x v="121"/>
    <x v="119"/>
    <x v="3"/>
    <x v="3"/>
    <m/>
    <x v="5"/>
    <x v="2"/>
    <n v="27454"/>
    <n v="77"/>
    <n v="8"/>
    <n v="909.29200000000003"/>
    <n v="32.6"/>
    <n v="30"/>
    <n v="4"/>
    <s v="A|B|C"/>
    <n v="5"/>
    <n v="3"/>
    <n v="2"/>
    <n v="0"/>
    <n v="0"/>
    <n v="10"/>
  </r>
  <r>
    <d v="2026-03-20T00:00:00"/>
    <s v="20/03/2026"/>
    <x v="5"/>
    <x v="0"/>
    <x v="97"/>
    <x v="96"/>
    <x v="3"/>
    <x v="3"/>
    <m/>
    <x v="5"/>
    <x v="2"/>
    <n v="27454"/>
    <n v="58"/>
    <n v="8"/>
    <n v="1471.4770000000001"/>
    <n v="78.3"/>
    <n v="30"/>
    <n v="4"/>
    <s v="A|B|C"/>
    <n v="4"/>
    <n v="4"/>
    <n v="0"/>
    <n v="0"/>
    <n v="0"/>
    <n v="8"/>
  </r>
  <r>
    <d v="2026-03-20T00:00:00"/>
    <s v="20/03/2026"/>
    <x v="5"/>
    <x v="6"/>
    <x v="122"/>
    <x v="120"/>
    <x v="3"/>
    <x v="3"/>
    <m/>
    <x v="5"/>
    <x v="2"/>
    <n v="27454"/>
    <n v="68"/>
    <n v="8"/>
    <n v="771.12"/>
    <n v="51.2"/>
    <n v="20"/>
    <n v="4"/>
    <s v="A|B|C"/>
    <n v="4"/>
    <n v="4"/>
    <n v="0"/>
    <n v="0"/>
    <n v="0"/>
    <n v="8"/>
  </r>
  <r>
    <d v="2026-03-20T00:00:00"/>
    <s v="20/03/2026"/>
    <x v="5"/>
    <x v="0"/>
    <x v="123"/>
    <x v="121"/>
    <x v="3"/>
    <x v="3"/>
    <m/>
    <x v="5"/>
    <x v="2"/>
    <n v="27454"/>
    <n v="60"/>
    <n v="2"/>
    <n v="179.58"/>
    <n v="10.3"/>
    <n v="29"/>
    <n v="1"/>
    <s v="A|B|C"/>
    <n v="1"/>
    <n v="0"/>
    <n v="1"/>
    <n v="0"/>
    <n v="0"/>
    <n v="2"/>
  </r>
  <r>
    <d v="2026-03-20T00:00:00"/>
    <s v="20/03/2026"/>
    <x v="5"/>
    <x v="0"/>
    <x v="124"/>
    <x v="122"/>
    <x v="3"/>
    <x v="3"/>
    <m/>
    <x v="5"/>
    <x v="2"/>
    <n v="27454"/>
    <n v="76"/>
    <n v="14"/>
    <n v="2143.0259999999998"/>
    <n v="125.7"/>
    <n v="25"/>
    <n v="7"/>
    <s v="A|B|C"/>
    <n v="6"/>
    <n v="7"/>
    <n v="0"/>
    <n v="0"/>
    <n v="0"/>
    <n v="13"/>
  </r>
  <r>
    <d v="2026-03-20T00:00:00"/>
    <s v="20/03/2026"/>
    <x v="5"/>
    <x v="0"/>
    <x v="125"/>
    <x v="123"/>
    <x v="3"/>
    <x v="3"/>
    <m/>
    <x v="5"/>
    <x v="2"/>
    <n v="27454"/>
    <n v="78"/>
    <n v="12"/>
    <n v="1027.6890000000001"/>
    <n v="82.7"/>
    <n v="30"/>
    <n v="5"/>
    <s v="A|B|C"/>
    <n v="6"/>
    <n v="4"/>
    <n v="1"/>
    <n v="0"/>
    <n v="0"/>
    <n v="11"/>
  </r>
  <r>
    <d v="2026-03-20T00:00:00"/>
    <s v="20/03/2026"/>
    <x v="5"/>
    <x v="0"/>
    <x v="126"/>
    <x v="124"/>
    <x v="3"/>
    <x v="3"/>
    <m/>
    <x v="0"/>
    <x v="2"/>
    <n v="27454"/>
    <n v="88"/>
    <n v="18"/>
    <n v="2075.2579999999998"/>
    <n v="126.1"/>
    <n v="20"/>
    <n v="9"/>
    <s v="A|B|C"/>
    <n v="6"/>
    <n v="9"/>
    <n v="1"/>
    <n v="0"/>
    <n v="0"/>
    <n v="16"/>
  </r>
  <r>
    <d v="2026-03-20T00:00:00"/>
    <s v="20/03/2026"/>
    <x v="5"/>
    <x v="0"/>
    <x v="127"/>
    <x v="125"/>
    <x v="3"/>
    <x v="3"/>
    <m/>
    <x v="0"/>
    <x v="2"/>
    <n v="27454"/>
    <n v="42"/>
    <n v="8"/>
    <n v="830.97"/>
    <n v="46.4"/>
    <n v="0"/>
    <n v="4"/>
    <s v="A|B|C"/>
    <n v="5"/>
    <n v="5"/>
    <n v="1"/>
    <n v="0"/>
    <n v="0"/>
    <n v="11"/>
  </r>
  <r>
    <d v="2026-03-20T00:00:00"/>
    <s v="20/03/2026"/>
    <x v="5"/>
    <x v="0"/>
    <x v="128"/>
    <x v="122"/>
    <x v="3"/>
    <x v="3"/>
    <m/>
    <x v="5"/>
    <x v="2"/>
    <n v="27454"/>
    <n v="44"/>
    <n v="12"/>
    <n v="1101.452"/>
    <n v="104.2"/>
    <n v="20"/>
    <n v="4"/>
    <s v="A|B|C"/>
    <n v="2"/>
    <n v="3"/>
    <n v="1"/>
    <n v="0"/>
    <n v="0"/>
    <n v="6"/>
  </r>
  <r>
    <d v="2026-03-20T00:00:00"/>
    <s v="20/03/2026"/>
    <x v="5"/>
    <x v="0"/>
    <x v="129"/>
    <x v="126"/>
    <x v="3"/>
    <x v="3"/>
    <m/>
    <x v="5"/>
    <x v="2"/>
    <n v="27454"/>
    <n v="33"/>
    <n v="8"/>
    <n v="775.90300000000002"/>
    <n v="82.8"/>
    <n v="30"/>
    <n v="4"/>
    <s v="A|B|C"/>
    <n v="4"/>
    <n v="2"/>
    <n v="2"/>
    <n v="0"/>
    <n v="0"/>
    <n v="8"/>
  </r>
  <r>
    <d v="2026-03-20T00:00:00"/>
    <s v="20/03/2026"/>
    <x v="5"/>
    <x v="0"/>
    <x v="99"/>
    <x v="97"/>
    <x v="3"/>
    <x v="3"/>
    <m/>
    <x v="5"/>
    <x v="2"/>
    <n v="27454"/>
    <n v="6"/>
    <n v="2"/>
    <n v="119.97"/>
    <n v="49.8"/>
    <n v="30"/>
    <n v="1"/>
    <s v="A|B|C"/>
    <n v="0"/>
    <n v="1"/>
    <n v="1"/>
    <n v="0"/>
    <n v="0"/>
    <n v="2"/>
  </r>
  <r>
    <d v="2026-03-20T00:00:00"/>
    <s v="20/03/2026"/>
    <x v="5"/>
    <x v="0"/>
    <x v="131"/>
    <x v="128"/>
    <x v="3"/>
    <x v="3"/>
    <m/>
    <x v="5"/>
    <x v="2"/>
    <n v="27454"/>
    <n v="71"/>
    <n v="14"/>
    <n v="956.32600000000002"/>
    <n v="182.9"/>
    <n v="25"/>
    <n v="7"/>
    <s v="A|B|C"/>
    <n v="6"/>
    <n v="6"/>
    <n v="1"/>
    <n v="0"/>
    <n v="0"/>
    <n v="13"/>
  </r>
  <r>
    <d v="2026-03-20T00:00:00"/>
    <s v="20/03/2026"/>
    <x v="5"/>
    <x v="0"/>
    <x v="101"/>
    <x v="99"/>
    <x v="3"/>
    <x v="3"/>
    <m/>
    <x v="0"/>
    <x v="2"/>
    <n v="27454"/>
    <n v="24"/>
    <n v="4"/>
    <n v="673.33199999999999"/>
    <n v="13"/>
    <n v="30"/>
    <n v="2"/>
    <s v="A|B|C"/>
    <n v="4"/>
    <n v="0"/>
    <n v="2"/>
    <n v="0"/>
    <n v="0"/>
    <n v="6"/>
  </r>
  <r>
    <d v="2026-03-20T00:00:00"/>
    <s v="20/03/2026"/>
    <x v="5"/>
    <x v="0"/>
    <x v="16"/>
    <x v="15"/>
    <x v="3"/>
    <x v="3"/>
    <m/>
    <x v="0"/>
    <x v="2"/>
    <n v="27454"/>
    <n v="27"/>
    <n v="6"/>
    <n v="862.01199999999994"/>
    <n v="53.7"/>
    <n v="30"/>
    <n v="3"/>
    <s v="A|B|C"/>
    <n v="3"/>
    <n v="3"/>
    <n v="0"/>
    <n v="0"/>
    <n v="0"/>
    <n v="6"/>
  </r>
  <r>
    <d v="2026-03-20T00:00:00"/>
    <s v="20/03/2026"/>
    <x v="5"/>
    <x v="0"/>
    <x v="132"/>
    <x v="129"/>
    <x v="3"/>
    <x v="3"/>
    <m/>
    <x v="5"/>
    <x v="2"/>
    <n v="27454"/>
    <n v="38"/>
    <n v="6"/>
    <n v="936.44500000000005"/>
    <n v="27.3"/>
    <n v="25"/>
    <n v="3"/>
    <s v="A|B|C"/>
    <n v="3"/>
    <n v="2"/>
    <n v="1"/>
    <n v="0"/>
    <n v="0"/>
    <n v="6"/>
  </r>
  <r>
    <d v="2026-03-20T00:00:00"/>
    <s v="20/03/2026"/>
    <x v="5"/>
    <x v="0"/>
    <x v="19"/>
    <x v="18"/>
    <x v="3"/>
    <x v="3"/>
    <m/>
    <x v="0"/>
    <x v="2"/>
    <n v="27454"/>
    <n v="14"/>
    <n v="2"/>
    <n v="370.72699999999998"/>
    <n v="0.2"/>
    <n v="60"/>
    <n v="1"/>
    <s v="A|B|C"/>
    <n v="1"/>
    <n v="1"/>
    <n v="0"/>
    <n v="0"/>
    <n v="0"/>
    <n v="2"/>
  </r>
  <r>
    <d v="2026-03-20T00:00:00"/>
    <s v="20/03/2026"/>
    <x v="5"/>
    <x v="0"/>
    <x v="133"/>
    <x v="130"/>
    <x v="3"/>
    <x v="3"/>
    <m/>
    <x v="0"/>
    <x v="2"/>
    <n v="27454"/>
    <n v="12"/>
    <n v="2"/>
    <n v="316.02999999999997"/>
    <n v="11.1"/>
    <n v="60"/>
    <n v="1"/>
    <s v="A|B|C"/>
    <n v="1"/>
    <n v="1"/>
    <n v="0"/>
    <n v="0"/>
    <n v="0"/>
    <n v="2"/>
  </r>
  <r>
    <d v="2026-03-20T00:00:00"/>
    <s v="20/03/2026"/>
    <x v="5"/>
    <x v="0"/>
    <x v="134"/>
    <x v="131"/>
    <x v="3"/>
    <x v="3"/>
    <m/>
    <x v="5"/>
    <x v="2"/>
    <n v="27454"/>
    <n v="62"/>
    <n v="10"/>
    <n v="2674.0230000000001"/>
    <n v="226.3"/>
    <n v="30"/>
    <n v="5"/>
    <s v="A|B|C"/>
    <n v="7"/>
    <n v="7"/>
    <n v="0"/>
    <n v="0"/>
    <n v="0"/>
    <n v="14"/>
  </r>
  <r>
    <d v="2026-03-20T00:00:00"/>
    <s v="20/03/2026"/>
    <x v="5"/>
    <x v="0"/>
    <x v="135"/>
    <x v="132"/>
    <x v="3"/>
    <x v="3"/>
    <m/>
    <x v="5"/>
    <x v="2"/>
    <n v="27454"/>
    <n v="85"/>
    <n v="14"/>
    <n v="1751.046"/>
    <n v="112.8"/>
    <n v="20"/>
    <n v="6"/>
    <s v="A|B|C"/>
    <n v="4"/>
    <n v="6"/>
    <n v="0"/>
    <n v="0"/>
    <n v="0"/>
    <n v="10"/>
  </r>
  <r>
    <d v="2026-03-20T00:00:00"/>
    <s v="20/03/2026"/>
    <x v="5"/>
    <x v="0"/>
    <x v="59"/>
    <x v="58"/>
    <x v="3"/>
    <x v="3"/>
    <m/>
    <x v="5"/>
    <x v="2"/>
    <n v="27454"/>
    <n v="63"/>
    <n v="20"/>
    <n v="1408.7429999999999"/>
    <n v="211"/>
    <n v="20"/>
    <n v="10"/>
    <s v="A|B|C"/>
    <n v="7"/>
    <n v="4"/>
    <n v="6"/>
    <n v="0"/>
    <n v="0"/>
    <n v="17"/>
  </r>
  <r>
    <d v="2026-03-20T00:00:00"/>
    <s v="20/03/2026"/>
    <x v="5"/>
    <x v="0"/>
    <x v="136"/>
    <x v="133"/>
    <x v="3"/>
    <x v="3"/>
    <m/>
    <x v="5"/>
    <x v="2"/>
    <n v="27454"/>
    <n v="20"/>
    <n v="24"/>
    <n v="211.46"/>
    <n v="298.39999999999998"/>
    <n v="30"/>
    <n v="4"/>
    <s v="A|B|C"/>
    <n v="4"/>
    <n v="2"/>
    <n v="0"/>
    <n v="0"/>
    <n v="0"/>
    <n v="6"/>
  </r>
  <r>
    <d v="2026-03-20T00:00:00"/>
    <s v="20/03/2026"/>
    <x v="5"/>
    <x v="0"/>
    <x v="137"/>
    <x v="134"/>
    <x v="3"/>
    <x v="3"/>
    <m/>
    <x v="5"/>
    <x v="2"/>
    <n v="27454"/>
    <n v="8"/>
    <n v="8"/>
    <n v="78.263999999999996"/>
    <n v="103.6"/>
    <n v="0"/>
    <n v="0"/>
    <s v="A|B|C"/>
    <n v="0"/>
    <n v="1"/>
    <n v="1"/>
    <n v="0"/>
    <n v="0"/>
    <n v="2"/>
  </r>
  <r>
    <d v="2026-03-20T00:00:00"/>
    <s v="20/03/2026"/>
    <x v="5"/>
    <x v="0"/>
    <x v="138"/>
    <x v="119"/>
    <x v="3"/>
    <x v="3"/>
    <m/>
    <x v="5"/>
    <x v="2"/>
    <n v="27454"/>
    <n v="41"/>
    <n v="12"/>
    <n v="1256.7729999999999"/>
    <n v="190.29"/>
    <n v="20"/>
    <n v="5"/>
    <s v="A|B|C"/>
    <n v="4"/>
    <n v="4"/>
    <n v="1"/>
    <n v="0"/>
    <n v="0"/>
    <n v="9"/>
  </r>
  <r>
    <d v="2026-03-20T00:00:00"/>
    <s v="20/03/2026"/>
    <x v="5"/>
    <x v="0"/>
    <x v="139"/>
    <x v="135"/>
    <x v="3"/>
    <x v="3"/>
    <m/>
    <x v="0"/>
    <x v="2"/>
    <n v="27454"/>
    <n v="62"/>
    <n v="14"/>
    <n v="1475.6"/>
    <n v="97"/>
    <n v="30"/>
    <n v="6"/>
    <s v="A|B|C"/>
    <n v="6"/>
    <n v="7"/>
    <n v="2"/>
    <n v="0"/>
    <n v="0"/>
    <n v="15"/>
  </r>
  <r>
    <d v="2026-03-20T00:00:00"/>
    <s v="20/03/2026"/>
    <x v="5"/>
    <x v="0"/>
    <x v="140"/>
    <x v="136"/>
    <x v="3"/>
    <x v="3"/>
    <m/>
    <x v="5"/>
    <x v="2"/>
    <n v="27454"/>
    <n v="12"/>
    <n v="17"/>
    <n v="143.63999999999999"/>
    <n v="222.2"/>
    <n v="23"/>
    <n v="5"/>
    <s v="A|B|C"/>
    <n v="5"/>
    <n v="0"/>
    <n v="0"/>
    <n v="0"/>
    <n v="0"/>
    <n v="5"/>
  </r>
  <r>
    <d v="2026-03-20T00:00:00"/>
    <s v="20/03/2026"/>
    <x v="5"/>
    <x v="0"/>
    <x v="141"/>
    <x v="137"/>
    <x v="3"/>
    <x v="3"/>
    <m/>
    <x v="5"/>
    <x v="2"/>
    <n v="27454"/>
    <n v="9"/>
    <n v="13"/>
    <n v="107.928"/>
    <n v="151.9"/>
    <n v="0"/>
    <n v="0"/>
    <s v="A|B|C"/>
    <n v="0"/>
    <n v="1"/>
    <n v="3"/>
    <n v="0"/>
    <n v="0"/>
    <n v="4"/>
  </r>
  <r>
    <d v="2026-03-21T00:00:00"/>
    <s v="20/03/2026"/>
    <x v="5"/>
    <x v="0"/>
    <x v="61"/>
    <x v="60"/>
    <x v="3"/>
    <x v="3"/>
    <m/>
    <x v="5"/>
    <x v="2"/>
    <n v="27454"/>
    <n v="39"/>
    <n v="8"/>
    <n v="1956.17"/>
    <n v="57.5"/>
    <n v="25"/>
    <n v="4"/>
    <s v="A|B|C"/>
    <n v="4"/>
    <n v="1"/>
    <n v="3"/>
    <n v="0"/>
    <n v="0"/>
    <n v="8"/>
  </r>
  <r>
    <d v="2026-03-21T00:00:00"/>
    <s v="20/03/2026"/>
    <x v="5"/>
    <x v="0"/>
    <x v="142"/>
    <x v="138"/>
    <x v="3"/>
    <x v="3"/>
    <m/>
    <x v="5"/>
    <x v="2"/>
    <n v="27454"/>
    <n v="27"/>
    <n v="8"/>
    <n v="857.19"/>
    <n v="48.5"/>
    <n v="30"/>
    <n v="4"/>
    <s v="A|B|C"/>
    <n v="1"/>
    <n v="2"/>
    <n v="0"/>
    <n v="0"/>
    <n v="0"/>
    <n v="3"/>
  </r>
  <r>
    <d v="2026-03-21T00:00:00"/>
    <s v="20/03/2026"/>
    <x v="5"/>
    <x v="0"/>
    <x v="46"/>
    <x v="45"/>
    <x v="3"/>
    <x v="3"/>
    <m/>
    <x v="0"/>
    <x v="2"/>
    <n v="27454"/>
    <n v="36"/>
    <n v="6"/>
    <n v="624.45399999999995"/>
    <n v="19.5"/>
    <n v="30"/>
    <n v="3"/>
    <s v="A|B|C"/>
    <n v="4"/>
    <n v="2"/>
    <n v="1"/>
    <n v="0"/>
    <n v="0"/>
    <n v="7"/>
  </r>
  <r>
    <d v="2026-03-21T00:00:00"/>
    <s v="20/03/2026"/>
    <x v="5"/>
    <x v="0"/>
    <x v="118"/>
    <x v="116"/>
    <x v="3"/>
    <x v="3"/>
    <m/>
    <x v="0"/>
    <x v="2"/>
    <n v="27454"/>
    <n v="13"/>
    <n v="2"/>
    <n v="203.435"/>
    <n v="4"/>
    <n v="30"/>
    <n v="1"/>
    <s v="A|B|C"/>
    <n v="1"/>
    <n v="1"/>
    <n v="0"/>
    <n v="0"/>
    <n v="0"/>
    <n v="2"/>
  </r>
  <r>
    <d v="2026-03-21T00:00:00"/>
    <s v="20/03/2026"/>
    <x v="5"/>
    <x v="0"/>
    <x v="24"/>
    <x v="23"/>
    <x v="3"/>
    <x v="3"/>
    <m/>
    <x v="0"/>
    <x v="2"/>
    <n v="27454"/>
    <n v="24"/>
    <n v="4"/>
    <n v="541.23599999999999"/>
    <n v="0.4"/>
    <n v="30"/>
    <n v="2"/>
    <s v="A|B|C"/>
    <n v="2"/>
    <n v="2"/>
    <n v="0"/>
    <n v="0"/>
    <n v="0"/>
    <n v="4"/>
  </r>
  <r>
    <d v="2026-03-21T00:00:00"/>
    <s v="20/03/2026"/>
    <x v="5"/>
    <x v="0"/>
    <x v="25"/>
    <x v="24"/>
    <x v="3"/>
    <x v="3"/>
    <m/>
    <x v="0"/>
    <x v="2"/>
    <n v="27454"/>
    <n v="36"/>
    <n v="6"/>
    <n v="854.63099999999997"/>
    <n v="31.2"/>
    <n v="20"/>
    <n v="3"/>
    <s v="A|B|C"/>
    <n v="3"/>
    <n v="3"/>
    <n v="0"/>
    <n v="0"/>
    <n v="0"/>
    <n v="6"/>
  </r>
  <r>
    <d v="2026-03-21T00:00:00"/>
    <s v="20/03/2026"/>
    <x v="5"/>
    <x v="0"/>
    <x v="27"/>
    <x v="26"/>
    <x v="3"/>
    <x v="3"/>
    <m/>
    <x v="0"/>
    <x v="2"/>
    <n v="27454"/>
    <n v="10"/>
    <n v="2"/>
    <n v="204.964"/>
    <n v="0.2"/>
    <n v="35"/>
    <n v="1"/>
    <s v="A|B|C"/>
    <n v="1"/>
    <n v="1"/>
    <n v="0"/>
    <n v="0"/>
    <n v="0"/>
    <n v="2"/>
  </r>
  <r>
    <d v="2026-03-21T00:00:00"/>
    <s v="20/03/2026"/>
    <x v="5"/>
    <x v="0"/>
    <x v="104"/>
    <x v="102"/>
    <x v="3"/>
    <x v="3"/>
    <m/>
    <x v="0"/>
    <x v="2"/>
    <n v="27454"/>
    <n v="20"/>
    <n v="4"/>
    <n v="476.96"/>
    <n v="8.6"/>
    <n v="35"/>
    <n v="2"/>
    <s v="A|B|C"/>
    <n v="2"/>
    <n v="2"/>
    <n v="0"/>
    <n v="0"/>
    <n v="0"/>
    <n v="4"/>
  </r>
  <r>
    <d v="2026-03-21T00:00:00"/>
    <s v="20/03/2026"/>
    <x v="5"/>
    <x v="7"/>
    <x v="143"/>
    <x v="139"/>
    <x v="3"/>
    <x v="3"/>
    <m/>
    <x v="5"/>
    <x v="2"/>
    <n v="27454"/>
    <n v="18"/>
    <n v="2"/>
    <n v="374.77800000000002"/>
    <n v="13.1"/>
    <n v="60"/>
    <n v="1"/>
    <s v="A|B|C"/>
    <n v="1"/>
    <n v="1"/>
    <n v="0"/>
    <n v="0"/>
    <n v="0"/>
    <n v="2"/>
  </r>
  <r>
    <d v="2026-03-21T00:00:00"/>
    <s v="20/03/2026"/>
    <x v="5"/>
    <x v="3"/>
    <x v="144"/>
    <x v="140"/>
    <x v="3"/>
    <x v="3"/>
    <m/>
    <x v="5"/>
    <x v="2"/>
    <n v="27454"/>
    <n v="36"/>
    <n v="9"/>
    <n v="463.22800000000001"/>
    <n v="115.9"/>
    <n v="30"/>
    <n v="3"/>
    <s v="A|B|C"/>
    <n v="3"/>
    <n v="2"/>
    <n v="2"/>
    <n v="0"/>
    <n v="0"/>
    <n v="7"/>
  </r>
  <r>
    <d v="2026-03-21T00:00:00"/>
    <s v="20/03/2026"/>
    <x v="5"/>
    <x v="3"/>
    <x v="145"/>
    <x v="141"/>
    <x v="3"/>
    <x v="3"/>
    <m/>
    <x v="5"/>
    <x v="2"/>
    <n v="27454"/>
    <n v="59"/>
    <n v="8"/>
    <n v="530.69799999999998"/>
    <n v="94.7"/>
    <n v="15"/>
    <n v="4"/>
    <s v="A|B|C"/>
    <n v="3"/>
    <n v="3"/>
    <n v="1"/>
    <n v="0"/>
    <n v="0"/>
    <n v="7"/>
  </r>
  <r>
    <d v="2026-03-21T00:00:00"/>
    <s v="20/03/2026"/>
    <x v="5"/>
    <x v="3"/>
    <x v="146"/>
    <x v="142"/>
    <x v="3"/>
    <x v="3"/>
    <m/>
    <x v="5"/>
    <x v="2"/>
    <n v="27454"/>
    <n v="21"/>
    <n v="4"/>
    <n v="312.709"/>
    <n v="44.2"/>
    <n v="30"/>
    <n v="2"/>
    <s v="A|B|C"/>
    <n v="1"/>
    <n v="0"/>
    <n v="2"/>
    <n v="0"/>
    <n v="0"/>
    <n v="3"/>
  </r>
  <r>
    <d v="2026-03-21T00:00:00"/>
    <s v="20/03/2026"/>
    <x v="5"/>
    <x v="3"/>
    <x v="147"/>
    <x v="143"/>
    <x v="3"/>
    <x v="3"/>
    <m/>
    <x v="5"/>
    <x v="2"/>
    <n v="27454"/>
    <n v="170"/>
    <n v="24"/>
    <n v="2378.2640000000001"/>
    <n v="127.8"/>
    <n v="5"/>
    <n v="12"/>
    <s v="A|B|C"/>
    <n v="10"/>
    <n v="11"/>
    <n v="2"/>
    <n v="0"/>
    <n v="0"/>
    <n v="23"/>
  </r>
  <r>
    <d v="2026-03-21T00:00:00"/>
    <s v="20/03/2026"/>
    <x v="5"/>
    <x v="3"/>
    <x v="148"/>
    <x v="144"/>
    <x v="3"/>
    <x v="3"/>
    <m/>
    <x v="5"/>
    <x v="2"/>
    <n v="27454"/>
    <n v="50"/>
    <n v="8"/>
    <n v="437.3"/>
    <n v="37.799999999999997"/>
    <n v="20"/>
    <n v="3"/>
    <s v="A|B|C"/>
    <n v="2"/>
    <n v="3"/>
    <n v="0"/>
    <n v="0"/>
    <n v="0"/>
    <n v="5"/>
  </r>
  <r>
    <d v="2026-03-21T00:00:00"/>
    <s v="20/03/2026"/>
    <x v="5"/>
    <x v="3"/>
    <x v="163"/>
    <x v="159"/>
    <x v="3"/>
    <x v="3"/>
    <m/>
    <x v="0"/>
    <x v="2"/>
    <n v="27454"/>
    <n v="37"/>
    <n v="2"/>
    <n v="137.12200000000001"/>
    <n v="4.7"/>
    <n v="30"/>
    <n v="1"/>
    <s v="A|B|C"/>
    <n v="1"/>
    <n v="1"/>
    <n v="0"/>
    <n v="0"/>
    <n v="0"/>
    <n v="2"/>
  </r>
  <r>
    <d v="2026-03-21T00:00:00"/>
    <s v="20/03/2026"/>
    <x v="5"/>
    <x v="3"/>
    <x v="149"/>
    <x v="145"/>
    <x v="3"/>
    <x v="3"/>
    <m/>
    <x v="5"/>
    <x v="2"/>
    <n v="27454"/>
    <n v="29"/>
    <n v="4"/>
    <n v="524.71199999999999"/>
    <n v="47.8"/>
    <n v="25"/>
    <n v="2"/>
    <s v="A|B|C"/>
    <n v="1"/>
    <n v="2"/>
    <n v="1"/>
    <n v="0"/>
    <n v="0"/>
    <n v="4"/>
  </r>
  <r>
    <d v="2026-03-21T00:00:00"/>
    <s v="20/03/2026"/>
    <x v="5"/>
    <x v="3"/>
    <x v="150"/>
    <x v="146"/>
    <x v="3"/>
    <x v="3"/>
    <m/>
    <x v="5"/>
    <x v="2"/>
    <n v="27454"/>
    <n v="74"/>
    <n v="17"/>
    <n v="1495.5139999999999"/>
    <n v="101.6"/>
    <n v="30"/>
    <n v="8"/>
    <s v="A|B|C"/>
    <n v="6"/>
    <n v="6"/>
    <n v="2"/>
    <n v="0"/>
    <n v="0"/>
    <n v="14"/>
  </r>
  <r>
    <d v="2026-03-21T00:00:00"/>
    <s v="20/03/2026"/>
    <x v="5"/>
    <x v="3"/>
    <x v="151"/>
    <x v="147"/>
    <x v="3"/>
    <x v="3"/>
    <m/>
    <x v="5"/>
    <x v="2"/>
    <n v="27454"/>
    <n v="66"/>
    <n v="10"/>
    <n v="1095.028"/>
    <n v="44.1"/>
    <n v="30"/>
    <n v="5"/>
    <s v="A|B|C"/>
    <n v="5"/>
    <n v="5"/>
    <n v="0"/>
    <n v="0"/>
    <n v="0"/>
    <n v="10"/>
  </r>
  <r>
    <d v="2026-03-21T00:00:00"/>
    <s v="20/03/2026"/>
    <x v="5"/>
    <x v="3"/>
    <x v="152"/>
    <x v="148"/>
    <x v="3"/>
    <x v="3"/>
    <m/>
    <x v="0"/>
    <x v="2"/>
    <n v="27454"/>
    <n v="24"/>
    <n v="2"/>
    <n v="214.65600000000001"/>
    <n v="0.2"/>
    <n v="10"/>
    <n v="1"/>
    <s v="A|B|C"/>
    <n v="1"/>
    <n v="1"/>
    <n v="0"/>
    <n v="0"/>
    <n v="0"/>
    <n v="2"/>
  </r>
  <r>
    <d v="2026-03-21T00:00:00"/>
    <s v="20/03/2026"/>
    <x v="5"/>
    <x v="3"/>
    <x v="153"/>
    <x v="149"/>
    <x v="3"/>
    <x v="3"/>
    <m/>
    <x v="5"/>
    <x v="2"/>
    <n v="27454"/>
    <n v="32"/>
    <n v="4"/>
    <n v="412.73599999999999"/>
    <n v="18.22"/>
    <n v="30"/>
    <n v="2"/>
    <s v="A|B|C"/>
    <n v="2"/>
    <n v="2"/>
    <n v="0"/>
    <n v="0"/>
    <n v="0"/>
    <n v="4"/>
  </r>
  <r>
    <d v="2026-03-21T00:00:00"/>
    <s v="20/03/2026"/>
    <x v="5"/>
    <x v="3"/>
    <x v="154"/>
    <x v="150"/>
    <x v="3"/>
    <x v="3"/>
    <m/>
    <x v="5"/>
    <x v="2"/>
    <n v="27454"/>
    <n v="32"/>
    <n v="5"/>
    <n v="884.60799999999995"/>
    <n v="31.9"/>
    <n v="30"/>
    <n v="3"/>
    <s v="A|B|C"/>
    <n v="2"/>
    <n v="3"/>
    <n v="0"/>
    <n v="0"/>
    <n v="0"/>
    <n v="5"/>
  </r>
  <r>
    <d v="2026-03-21T00:00:00"/>
    <s v="20/03/2026"/>
    <x v="5"/>
    <x v="3"/>
    <x v="155"/>
    <x v="151"/>
    <x v="3"/>
    <x v="3"/>
    <m/>
    <x v="5"/>
    <x v="2"/>
    <n v="27454"/>
    <n v="41"/>
    <n v="8"/>
    <n v="1495.4390000000001"/>
    <n v="62"/>
    <n v="20"/>
    <n v="5"/>
    <s v="A|B|C"/>
    <n v="4"/>
    <n v="3"/>
    <n v="1"/>
    <n v="0"/>
    <n v="0"/>
    <n v="8"/>
  </r>
  <r>
    <d v="2026-03-21T00:00:00"/>
    <s v="20/03/2026"/>
    <x v="5"/>
    <x v="3"/>
    <x v="156"/>
    <x v="152"/>
    <x v="3"/>
    <x v="3"/>
    <m/>
    <x v="5"/>
    <x v="2"/>
    <n v="27454"/>
    <n v="28"/>
    <n v="5"/>
    <n v="486.72399999999999"/>
    <n v="32.1"/>
    <n v="30"/>
    <n v="2"/>
    <s v="A|B|C"/>
    <n v="2"/>
    <n v="1"/>
    <n v="1"/>
    <n v="0"/>
    <n v="0"/>
    <n v="4"/>
  </r>
  <r>
    <d v="2026-03-21T00:00:00"/>
    <s v="20/03/2026"/>
    <x v="5"/>
    <x v="3"/>
    <x v="68"/>
    <x v="67"/>
    <x v="3"/>
    <x v="3"/>
    <m/>
    <x v="5"/>
    <x v="2"/>
    <n v="27454"/>
    <n v="21"/>
    <n v="4"/>
    <n v="467.18400000000003"/>
    <n v="51.6"/>
    <n v="30"/>
    <n v="2"/>
    <s v="A|B|C"/>
    <n v="1"/>
    <n v="1"/>
    <n v="1"/>
    <n v="0"/>
    <n v="0"/>
    <n v="3"/>
  </r>
  <r>
    <d v="2026-03-21T00:00:00"/>
    <s v="20/03/2026"/>
    <x v="5"/>
    <x v="3"/>
    <x v="157"/>
    <x v="153"/>
    <x v="3"/>
    <x v="3"/>
    <m/>
    <x v="5"/>
    <x v="2"/>
    <n v="27454"/>
    <n v="32"/>
    <n v="6"/>
    <n v="536.10900000000004"/>
    <n v="45.5"/>
    <n v="25"/>
    <n v="2"/>
    <s v="A|B|C"/>
    <n v="2"/>
    <n v="3"/>
    <n v="1"/>
    <n v="0"/>
    <n v="0"/>
    <n v="6"/>
  </r>
  <r>
    <d v="2026-03-21T00:00:00"/>
    <s v="20/03/2026"/>
    <x v="5"/>
    <x v="3"/>
    <x v="158"/>
    <x v="154"/>
    <x v="3"/>
    <x v="3"/>
    <m/>
    <x v="5"/>
    <x v="2"/>
    <n v="27454"/>
    <n v="48"/>
    <n v="10"/>
    <n v="1406.3109999999999"/>
    <n v="68.2"/>
    <n v="18"/>
    <n v="5"/>
    <s v="A|B|C"/>
    <n v="4"/>
    <n v="3"/>
    <n v="2"/>
    <n v="0"/>
    <n v="0"/>
    <n v="9"/>
  </r>
  <r>
    <d v="2026-03-21T00:00:00"/>
    <s v="20/03/2026"/>
    <x v="5"/>
    <x v="3"/>
    <x v="159"/>
    <x v="155"/>
    <x v="3"/>
    <x v="3"/>
    <m/>
    <x v="5"/>
    <x v="2"/>
    <n v="27454"/>
    <n v="40"/>
    <n v="8"/>
    <n v="1273.8109999999999"/>
    <n v="58"/>
    <n v="20"/>
    <n v="4"/>
    <s v="A|B|C"/>
    <n v="4"/>
    <n v="3"/>
    <n v="1"/>
    <n v="0"/>
    <n v="0"/>
    <n v="8"/>
  </r>
  <r>
    <d v="2026-03-21T00:00:00"/>
    <s v="20/03/2026"/>
    <x v="5"/>
    <x v="3"/>
    <x v="160"/>
    <x v="156"/>
    <x v="3"/>
    <x v="3"/>
    <m/>
    <x v="5"/>
    <x v="2"/>
    <n v="27454"/>
    <n v="32"/>
    <n v="8"/>
    <n v="407.96499999999997"/>
    <n v="89.4"/>
    <n v="20"/>
    <n v="3"/>
    <s v="A|B|C"/>
    <n v="2"/>
    <n v="1"/>
    <n v="2"/>
    <n v="0"/>
    <n v="0"/>
    <n v="5"/>
  </r>
  <r>
    <d v="2026-03-21T00:00:00"/>
    <s v="20/03/2026"/>
    <x v="5"/>
    <x v="3"/>
    <x v="43"/>
    <x v="42"/>
    <x v="3"/>
    <x v="3"/>
    <m/>
    <x v="1"/>
    <x v="2"/>
    <n v="27454"/>
    <n v="24"/>
    <n v="4"/>
    <n v="329.42399999999998"/>
    <n v="0.4"/>
    <n v="18"/>
    <n v="2"/>
    <s v="A|B|C"/>
    <n v="2"/>
    <n v="2"/>
    <n v="0"/>
    <n v="0"/>
    <n v="0"/>
    <n v="4"/>
  </r>
  <r>
    <d v="2026-03-21T00:00:00"/>
    <s v="20/03/2026"/>
    <x v="5"/>
    <x v="0"/>
    <x v="161"/>
    <x v="157"/>
    <x v="3"/>
    <x v="3"/>
    <m/>
    <x v="5"/>
    <x v="2"/>
    <n v="27454"/>
    <n v="45"/>
    <n v="16"/>
    <n v="1779.9749999999999"/>
    <n v="102.4"/>
    <n v="20"/>
    <n v="8"/>
    <s v="A|B|C"/>
    <n v="7"/>
    <n v="5"/>
    <n v="5"/>
    <n v="0"/>
    <n v="0"/>
    <n v="17"/>
  </r>
  <r>
    <d v="2026-03-21T00:00:00"/>
    <s v="20/03/2026"/>
    <x v="5"/>
    <x v="7"/>
    <x v="162"/>
    <x v="158"/>
    <x v="3"/>
    <x v="3"/>
    <m/>
    <x v="5"/>
    <x v="2"/>
    <n v="27454"/>
    <n v="18"/>
    <n v="2"/>
    <n v="384.87400000000002"/>
    <n v="23.9"/>
    <n v="60"/>
    <n v="1"/>
    <s v="A|B|C"/>
    <n v="1"/>
    <n v="1"/>
    <n v="0"/>
    <n v="0"/>
    <n v="0"/>
    <n v="2"/>
  </r>
  <r>
    <d v="2026-03-21T00:00:00"/>
    <s v="20/03/2026"/>
    <x v="5"/>
    <x v="1"/>
    <x v="115"/>
    <x v="113"/>
    <x v="3"/>
    <x v="3"/>
    <m/>
    <x v="5"/>
    <x v="2"/>
    <n v="27454"/>
    <n v="67"/>
    <n v="15"/>
    <n v="1552.49"/>
    <n v="271.5"/>
    <n v="15"/>
    <n v="8"/>
    <s v="A|B|C"/>
    <n v="6"/>
    <n v="7"/>
    <n v="2"/>
    <n v="0"/>
    <n v="0"/>
    <n v="15"/>
  </r>
  <r>
    <d v="2026-03-21T00:00:00"/>
    <s v="20/03/2026"/>
    <x v="5"/>
    <x v="1"/>
    <x v="47"/>
    <x v="46"/>
    <x v="3"/>
    <x v="3"/>
    <m/>
    <x v="0"/>
    <x v="2"/>
    <n v="27454"/>
    <n v="32"/>
    <n v="6"/>
    <n v="992.44500000000005"/>
    <n v="0.6"/>
    <n v="20"/>
    <n v="3"/>
    <s v="A|B|C"/>
    <n v="3"/>
    <n v="3"/>
    <n v="0"/>
    <n v="0"/>
    <n v="0"/>
    <n v="6"/>
  </r>
  <r>
    <d v="2026-03-21T00:00:00"/>
    <s v="20/03/2026"/>
    <x v="5"/>
    <x v="1"/>
    <x v="44"/>
    <x v="43"/>
    <x v="3"/>
    <x v="3"/>
    <m/>
    <x v="3"/>
    <x v="2"/>
    <n v="27454"/>
    <n v="10"/>
    <n v="2"/>
    <n v="309.65499999999997"/>
    <n v="6.5"/>
    <n v="30"/>
    <n v="1"/>
    <s v="A|B|C"/>
    <n v="1"/>
    <n v="0"/>
    <n v="1"/>
    <n v="0"/>
    <n v="0"/>
    <n v="2"/>
  </r>
  <r>
    <d v="2026-03-22T00:00:00"/>
    <s v="20/03/2026"/>
    <x v="5"/>
    <x v="1"/>
    <x v="117"/>
    <x v="115"/>
    <x v="3"/>
    <x v="3"/>
    <m/>
    <x v="0"/>
    <x v="2"/>
    <n v="27454"/>
    <n v="35"/>
    <n v="7"/>
    <n v="1015.321"/>
    <n v="112.2"/>
    <n v="30"/>
    <n v="3"/>
    <s v="A|B|C"/>
    <n v="3"/>
    <n v="3"/>
    <n v="2"/>
    <n v="0"/>
    <n v="0"/>
    <n v="8"/>
  </r>
  <r>
    <d v="2026-03-22T00:00:00"/>
    <s v="20/03/2026"/>
    <x v="5"/>
    <x v="1"/>
    <x v="93"/>
    <x v="92"/>
    <x v="3"/>
    <x v="3"/>
    <m/>
    <x v="0"/>
    <x v="2"/>
    <n v="27454"/>
    <n v="50"/>
    <n v="8"/>
    <n v="2460"/>
    <n v="97.8"/>
    <n v="30"/>
    <n v="4"/>
    <s v="A|B|C"/>
    <n v="5"/>
    <n v="3"/>
    <n v="1"/>
    <n v="0"/>
    <n v="0"/>
    <n v="9"/>
  </r>
  <r>
    <d v="2026-03-22T00:00:00"/>
    <s v="20/03/2026"/>
    <x v="5"/>
    <x v="1"/>
    <x v="95"/>
    <x v="94"/>
    <x v="3"/>
    <x v="3"/>
    <m/>
    <x v="5"/>
    <x v="2"/>
    <n v="27454"/>
    <n v="36"/>
    <n v="8"/>
    <n v="2419.2829999999999"/>
    <n v="199.2"/>
    <n v="30"/>
    <n v="4"/>
    <s v="A|B|C"/>
    <n v="4"/>
    <n v="4"/>
    <n v="0"/>
    <n v="0"/>
    <n v="0"/>
    <n v="8"/>
  </r>
  <r>
    <d v="2026-03-22T00:00:00"/>
    <s v="20/03/2026"/>
    <x v="5"/>
    <x v="0"/>
    <x v="120"/>
    <x v="118"/>
    <x v="3"/>
    <x v="3"/>
    <m/>
    <x v="5"/>
    <x v="3"/>
    <n v="27455"/>
    <n v="103"/>
    <n v="32"/>
    <n v="1767.4780000000001"/>
    <n v="263.5"/>
    <n v="15"/>
    <n v="11"/>
    <s v="A|B|C"/>
    <n v="11"/>
    <n v="9"/>
    <n v="2"/>
    <n v="0"/>
    <n v="0"/>
    <n v="22"/>
  </r>
  <r>
    <d v="2026-03-22T00:00:00"/>
    <s v="20/03/2026"/>
    <x v="5"/>
    <x v="0"/>
    <x v="121"/>
    <x v="119"/>
    <x v="3"/>
    <x v="3"/>
    <m/>
    <x v="5"/>
    <x v="3"/>
    <n v="27455"/>
    <n v="79"/>
    <n v="8"/>
    <n v="932.899"/>
    <n v="58.2"/>
    <n v="30"/>
    <n v="4"/>
    <s v="A|B|C"/>
    <n v="7"/>
    <n v="1"/>
    <n v="4"/>
    <n v="0"/>
    <n v="0"/>
    <n v="12"/>
  </r>
  <r>
    <d v="2026-03-22T00:00:00"/>
    <s v="20/03/2026"/>
    <x v="5"/>
    <x v="0"/>
    <x v="97"/>
    <x v="96"/>
    <x v="3"/>
    <x v="3"/>
    <m/>
    <x v="5"/>
    <x v="3"/>
    <n v="27455"/>
    <n v="72"/>
    <n v="12"/>
    <n v="1826.662"/>
    <n v="177.9"/>
    <n v="25"/>
    <n v="6"/>
    <s v="A|B|C"/>
    <n v="7"/>
    <n v="4"/>
    <n v="2"/>
    <n v="0"/>
    <n v="0"/>
    <n v="13"/>
  </r>
  <r>
    <d v="2026-03-22T00:00:00"/>
    <s v="20/03/2026"/>
    <x v="5"/>
    <x v="6"/>
    <x v="122"/>
    <x v="120"/>
    <x v="3"/>
    <x v="3"/>
    <m/>
    <x v="5"/>
    <x v="3"/>
    <n v="27455"/>
    <n v="46"/>
    <n v="6"/>
    <n v="521.64"/>
    <n v="38.4"/>
    <n v="30"/>
    <n v="3"/>
    <s v="A|B|C"/>
    <n v="3"/>
    <n v="3"/>
    <n v="0"/>
    <n v="0"/>
    <n v="0"/>
    <n v="6"/>
  </r>
  <r>
    <d v="2026-03-22T00:00:00"/>
    <s v="20/03/2026"/>
    <x v="5"/>
    <x v="0"/>
    <x v="123"/>
    <x v="121"/>
    <x v="3"/>
    <x v="3"/>
    <m/>
    <x v="5"/>
    <x v="3"/>
    <n v="27455"/>
    <n v="72"/>
    <n v="2"/>
    <n v="215.49600000000001"/>
    <n v="10.3"/>
    <n v="27"/>
    <n v="1"/>
    <s v="A|B|C"/>
    <n v="1"/>
    <n v="1"/>
    <n v="0"/>
    <n v="0"/>
    <n v="0"/>
    <n v="2"/>
  </r>
  <r>
    <d v="2026-03-22T00:00:00"/>
    <s v="20/03/2026"/>
    <x v="5"/>
    <x v="0"/>
    <x v="124"/>
    <x v="122"/>
    <x v="3"/>
    <x v="3"/>
    <m/>
    <x v="0"/>
    <x v="3"/>
    <n v="27455"/>
    <n v="92"/>
    <n v="22"/>
    <n v="2588.328"/>
    <n v="175"/>
    <n v="20"/>
    <n v="11"/>
    <s v="A|B|C"/>
    <n v="12"/>
    <n v="10"/>
    <n v="1"/>
    <n v="0"/>
    <n v="0"/>
    <n v="23"/>
  </r>
  <r>
    <d v="2026-03-22T00:00:00"/>
    <s v="20/03/2026"/>
    <x v="5"/>
    <x v="0"/>
    <x v="125"/>
    <x v="123"/>
    <x v="3"/>
    <x v="3"/>
    <m/>
    <x v="0"/>
    <x v="3"/>
    <n v="27455"/>
    <n v="12"/>
    <n v="2"/>
    <n v="158.10599999999999"/>
    <n v="0.2"/>
    <n v="20"/>
    <n v="1"/>
    <s v="A|B|C"/>
    <n v="1"/>
    <n v="1"/>
    <n v="0"/>
    <n v="0"/>
    <n v="0"/>
    <n v="2"/>
  </r>
  <r>
    <d v="2026-03-22T00:00:00"/>
    <s v="20/03/2026"/>
    <x v="5"/>
    <x v="0"/>
    <x v="126"/>
    <x v="124"/>
    <x v="3"/>
    <x v="3"/>
    <m/>
    <x v="5"/>
    <x v="3"/>
    <n v="27455"/>
    <n v="97"/>
    <n v="32"/>
    <n v="2284.1480000000001"/>
    <n v="364.6"/>
    <n v="20"/>
    <n v="14"/>
    <s v="A|B|C"/>
    <n v="10"/>
    <n v="12"/>
    <n v="2"/>
    <n v="0"/>
    <n v="0"/>
    <n v="24"/>
  </r>
  <r>
    <d v="2026-03-22T00:00:00"/>
    <s v="20/03/2026"/>
    <x v="5"/>
    <x v="0"/>
    <x v="127"/>
    <x v="125"/>
    <x v="3"/>
    <x v="3"/>
    <m/>
    <x v="5"/>
    <x v="3"/>
    <n v="27455"/>
    <n v="42"/>
    <n v="12"/>
    <n v="830.97"/>
    <n v="93.9"/>
    <n v="0"/>
    <n v="7"/>
    <s v="A|B|C"/>
    <n v="3"/>
    <n v="4"/>
    <n v="2"/>
    <n v="0"/>
    <n v="0"/>
    <n v="9"/>
  </r>
  <r>
    <d v="2026-03-22T00:00:00"/>
    <s v="20/03/2026"/>
    <x v="5"/>
    <x v="0"/>
    <x v="128"/>
    <x v="122"/>
    <x v="3"/>
    <x v="3"/>
    <m/>
    <x v="0"/>
    <x v="3"/>
    <n v="27455"/>
    <n v="42"/>
    <n v="12"/>
    <n v="1051.386"/>
    <n v="109"/>
    <n v="15"/>
    <n v="4"/>
    <s v="A|B|C"/>
    <n v="5"/>
    <n v="3"/>
    <n v="1"/>
    <n v="0"/>
    <n v="0"/>
    <n v="9"/>
  </r>
  <r>
    <d v="2026-03-22T00:00:00"/>
    <s v="20/03/2026"/>
    <x v="5"/>
    <x v="0"/>
    <x v="129"/>
    <x v="126"/>
    <x v="3"/>
    <x v="3"/>
    <m/>
    <x v="0"/>
    <x v="3"/>
    <n v="27455"/>
    <n v="37"/>
    <n v="8"/>
    <n v="869.95100000000002"/>
    <n v="0.8"/>
    <n v="30"/>
    <n v="4"/>
    <s v="A|B|C"/>
    <n v="5"/>
    <n v="2"/>
    <n v="2"/>
    <n v="0"/>
    <n v="0"/>
    <n v="9"/>
  </r>
  <r>
    <d v="2026-03-22T00:00:00"/>
    <s v="20/03/2026"/>
    <x v="5"/>
    <x v="0"/>
    <x v="99"/>
    <x v="97"/>
    <x v="3"/>
    <x v="3"/>
    <m/>
    <x v="5"/>
    <x v="3"/>
    <n v="27455"/>
    <n v="31"/>
    <n v="6"/>
    <n v="620.59500000000003"/>
    <n v="137.19999999999999"/>
    <n v="25"/>
    <n v="3"/>
    <s v="A|B|C"/>
    <n v="3"/>
    <n v="3"/>
    <n v="0"/>
    <n v="0"/>
    <n v="0"/>
    <n v="6"/>
  </r>
  <r>
    <d v="2026-03-22T00:00:00"/>
    <s v="20/03/2026"/>
    <x v="5"/>
    <x v="0"/>
    <x v="130"/>
    <x v="127"/>
    <x v="3"/>
    <x v="3"/>
    <m/>
    <x v="0"/>
    <x v="3"/>
    <n v="27455"/>
    <n v="14"/>
    <n v="2"/>
    <n v="195.041"/>
    <n v="0.2"/>
    <n v="60"/>
    <n v="1"/>
    <s v="A|B|C"/>
    <n v="1"/>
    <n v="1"/>
    <n v="0"/>
    <n v="0"/>
    <n v="0"/>
    <n v="2"/>
  </r>
  <r>
    <d v="2026-03-22T00:00:00"/>
    <s v="20/03/2026"/>
    <x v="5"/>
    <x v="0"/>
    <x v="131"/>
    <x v="128"/>
    <x v="3"/>
    <x v="3"/>
    <m/>
    <x v="5"/>
    <x v="3"/>
    <n v="27455"/>
    <n v="71"/>
    <n v="16"/>
    <n v="956.32600000000002"/>
    <n v="269.3"/>
    <n v="30"/>
    <n v="8"/>
    <s v="A|B|C"/>
    <n v="4"/>
    <n v="3"/>
    <n v="1"/>
    <n v="0"/>
    <n v="0"/>
    <n v="8"/>
  </r>
  <r>
    <d v="2026-03-22T00:00:00"/>
    <s v="20/03/2026"/>
    <x v="5"/>
    <x v="0"/>
    <x v="101"/>
    <x v="99"/>
    <x v="3"/>
    <x v="3"/>
    <m/>
    <x v="0"/>
    <x v="3"/>
    <n v="27455"/>
    <n v="40"/>
    <n v="8"/>
    <n v="1122.22"/>
    <n v="26"/>
    <n v="25"/>
    <n v="4"/>
    <s v="A|B|C"/>
    <n v="4"/>
    <n v="4"/>
    <n v="0"/>
    <n v="0"/>
    <n v="0"/>
    <n v="8"/>
  </r>
  <r>
    <d v="2026-03-22T00:00:00"/>
    <s v="20/03/2026"/>
    <x v="5"/>
    <x v="0"/>
    <x v="132"/>
    <x v="129"/>
    <x v="3"/>
    <x v="3"/>
    <m/>
    <x v="5"/>
    <x v="3"/>
    <n v="27455"/>
    <n v="49"/>
    <n v="14"/>
    <n v="1207.5219999999999"/>
    <n v="63.7"/>
    <n v="20"/>
    <n v="6"/>
    <s v="A|B|C"/>
    <n v="5"/>
    <n v="6"/>
    <n v="0"/>
    <n v="0"/>
    <n v="0"/>
    <n v="11"/>
  </r>
  <r>
    <d v="2026-03-22T00:00:00"/>
    <s v="20/03/2026"/>
    <x v="5"/>
    <x v="0"/>
    <x v="19"/>
    <x v="18"/>
    <x v="3"/>
    <x v="3"/>
    <m/>
    <x v="0"/>
    <x v="3"/>
    <n v="27455"/>
    <n v="10"/>
    <n v="2"/>
    <n v="264.80500000000001"/>
    <n v="0.2"/>
    <n v="85"/>
    <n v="1"/>
    <s v="A|B|C"/>
    <n v="1"/>
    <n v="1"/>
    <n v="0"/>
    <n v="0"/>
    <n v="0"/>
    <n v="2"/>
  </r>
  <r>
    <d v="2026-03-22T00:00:00"/>
    <s v="20/03/2026"/>
    <x v="5"/>
    <x v="0"/>
    <x v="133"/>
    <x v="130"/>
    <x v="3"/>
    <x v="3"/>
    <m/>
    <x v="0"/>
    <x v="3"/>
    <n v="27455"/>
    <n v="40"/>
    <n v="8"/>
    <n v="1092.44"/>
    <n v="0.8"/>
    <n v="20"/>
    <n v="4"/>
    <s v="A|B|C"/>
    <n v="4"/>
    <n v="4"/>
    <n v="0"/>
    <n v="0"/>
    <n v="0"/>
    <n v="8"/>
  </r>
  <r>
    <d v="2026-03-22T00:00:00"/>
    <s v="20/03/2026"/>
    <x v="5"/>
    <x v="0"/>
    <x v="134"/>
    <x v="131"/>
    <x v="3"/>
    <x v="3"/>
    <m/>
    <x v="5"/>
    <x v="3"/>
    <n v="27455"/>
    <n v="66"/>
    <n v="18"/>
    <n v="2846.54"/>
    <n v="372.8"/>
    <n v="30"/>
    <n v="9"/>
    <s v="A|B|C"/>
    <n v="10"/>
    <n v="12"/>
    <n v="0"/>
    <n v="0"/>
    <n v="0"/>
    <n v="22"/>
  </r>
  <r>
    <d v="2026-03-22T00:00:00"/>
    <s v="20/03/2026"/>
    <x v="5"/>
    <x v="0"/>
    <x v="135"/>
    <x v="132"/>
    <x v="3"/>
    <x v="3"/>
    <m/>
    <x v="5"/>
    <x v="3"/>
    <n v="27455"/>
    <n v="94"/>
    <n v="12"/>
    <n v="1938.374"/>
    <n v="107.6"/>
    <n v="20"/>
    <n v="6"/>
    <s v="A|B|C"/>
    <n v="9"/>
    <n v="10"/>
    <n v="0"/>
    <n v="0"/>
    <n v="0"/>
    <n v="19"/>
  </r>
  <r>
    <d v="2026-03-22T00:00:00"/>
    <s v="20/03/2026"/>
    <x v="5"/>
    <x v="0"/>
    <x v="59"/>
    <x v="58"/>
    <x v="3"/>
    <x v="3"/>
    <m/>
    <x v="5"/>
    <x v="3"/>
    <n v="27455"/>
    <n v="82"/>
    <n v="20"/>
    <n v="1826.77"/>
    <n v="197.9"/>
    <n v="20"/>
    <n v="9"/>
    <s v="A|B|C"/>
    <n v="9"/>
    <n v="9"/>
    <n v="0"/>
    <n v="0"/>
    <n v="0"/>
    <n v="18"/>
  </r>
  <r>
    <d v="2026-03-22T00:00:00"/>
    <s v="20/03/2026"/>
    <x v="5"/>
    <x v="0"/>
    <x v="136"/>
    <x v="133"/>
    <x v="3"/>
    <x v="3"/>
    <m/>
    <x v="5"/>
    <x v="3"/>
    <n v="27455"/>
    <n v="14"/>
    <n v="19"/>
    <n v="148.02199999999999"/>
    <n v="221.5"/>
    <n v="10"/>
    <n v="5"/>
    <s v="A|B|C"/>
    <n v="1"/>
    <n v="1"/>
    <n v="0"/>
    <n v="0"/>
    <n v="0"/>
    <n v="2"/>
  </r>
  <r>
    <d v="2026-03-22T00:00:00"/>
    <s v="20/03/2026"/>
    <x v="5"/>
    <x v="0"/>
    <x v="137"/>
    <x v="134"/>
    <x v="3"/>
    <x v="3"/>
    <m/>
    <x v="5"/>
    <x v="3"/>
    <n v="27455"/>
    <n v="17"/>
    <n v="22"/>
    <n v="166.31100000000001"/>
    <n v="247.7"/>
    <n v="0"/>
    <n v="0"/>
    <s v="A|B|C"/>
    <n v="4"/>
    <n v="4"/>
    <n v="0"/>
    <n v="0"/>
    <n v="0"/>
    <n v="8"/>
  </r>
  <r>
    <d v="2026-03-22T00:00:00"/>
    <s v="20/03/2026"/>
    <x v="5"/>
    <x v="0"/>
    <x v="138"/>
    <x v="119"/>
    <x v="3"/>
    <x v="3"/>
    <m/>
    <x v="5"/>
    <x v="3"/>
    <n v="27455"/>
    <n v="45"/>
    <n v="16"/>
    <n v="1379.385"/>
    <n v="246.6"/>
    <n v="15"/>
    <n v="6"/>
    <s v="A|B|C"/>
    <n v="5"/>
    <n v="3"/>
    <n v="3"/>
    <n v="0"/>
    <n v="0"/>
    <n v="11"/>
  </r>
  <r>
    <d v="2026-03-22T00:00:00"/>
    <s v="20/03/2026"/>
    <x v="5"/>
    <x v="0"/>
    <x v="139"/>
    <x v="135"/>
    <x v="3"/>
    <x v="3"/>
    <m/>
    <x v="5"/>
    <x v="3"/>
    <n v="27455"/>
    <n v="58"/>
    <n v="14"/>
    <n v="1379.93"/>
    <n v="131.80000000000001"/>
    <n v="30"/>
    <n v="7"/>
    <s v="A|B|C"/>
    <n v="7"/>
    <n v="7"/>
    <n v="0"/>
    <n v="0"/>
    <n v="0"/>
    <n v="14"/>
  </r>
  <r>
    <d v="2026-03-22T00:00:00"/>
    <s v="20/03/2026"/>
    <x v="5"/>
    <x v="0"/>
    <x v="140"/>
    <x v="136"/>
    <x v="3"/>
    <x v="3"/>
    <m/>
    <x v="5"/>
    <x v="3"/>
    <n v="27455"/>
    <n v="17"/>
    <n v="22"/>
    <n v="203.49"/>
    <n v="297.7"/>
    <n v="10"/>
    <n v="5"/>
    <s v="A|B|C"/>
    <n v="5"/>
    <n v="0"/>
    <n v="0"/>
    <n v="0"/>
    <n v="0"/>
    <n v="5"/>
  </r>
  <r>
    <d v="2026-03-22T00:00:00"/>
    <s v="20/03/2026"/>
    <x v="5"/>
    <x v="0"/>
    <x v="141"/>
    <x v="137"/>
    <x v="3"/>
    <x v="3"/>
    <m/>
    <x v="5"/>
    <x v="3"/>
    <n v="27455"/>
    <n v="12"/>
    <n v="17"/>
    <n v="143.904"/>
    <n v="200"/>
    <n v="0"/>
    <n v="0"/>
    <s v="A|B|C"/>
    <n v="0"/>
    <n v="5"/>
    <n v="0"/>
    <n v="0"/>
    <n v="0"/>
    <n v="5"/>
  </r>
  <r>
    <d v="2026-03-22T00:00:00"/>
    <s v="20/03/2026"/>
    <x v="5"/>
    <x v="0"/>
    <x v="61"/>
    <x v="60"/>
    <x v="3"/>
    <x v="3"/>
    <m/>
    <x v="5"/>
    <x v="3"/>
    <n v="27455"/>
    <n v="49"/>
    <n v="12"/>
    <n v="2458.473"/>
    <n v="118.1"/>
    <n v="30"/>
    <n v="6"/>
    <s v="A|B|C"/>
    <n v="5"/>
    <n v="6"/>
    <n v="1"/>
    <n v="0"/>
    <n v="0"/>
    <n v="12"/>
  </r>
  <r>
    <d v="2026-03-22T00:00:00"/>
    <s v="20/03/2026"/>
    <x v="5"/>
    <x v="0"/>
    <x v="142"/>
    <x v="138"/>
    <x v="3"/>
    <x v="3"/>
    <m/>
    <x v="5"/>
    <x v="3"/>
    <n v="27455"/>
    <n v="28"/>
    <n v="10"/>
    <n v="889.01199999999994"/>
    <n v="54.2"/>
    <n v="30"/>
    <n v="3"/>
    <s v="A|B|C"/>
    <n v="2"/>
    <n v="0"/>
    <n v="0"/>
    <n v="0"/>
    <n v="0"/>
    <n v="2"/>
  </r>
  <r>
    <d v="2026-03-23T00:00:00"/>
    <s v="20/03/2026"/>
    <x v="5"/>
    <x v="0"/>
    <x v="46"/>
    <x v="45"/>
    <x v="3"/>
    <x v="3"/>
    <m/>
    <x v="0"/>
    <x v="3"/>
    <n v="27455"/>
    <n v="10"/>
    <n v="2"/>
    <n v="173.459"/>
    <n v="6.5"/>
    <n v="60"/>
    <n v="1"/>
    <s v="A|B|C"/>
    <n v="1"/>
    <n v="1"/>
    <n v="0"/>
    <n v="0"/>
    <n v="0"/>
    <n v="2"/>
  </r>
  <r>
    <d v="2026-03-23T00:00:00"/>
    <s v="20/03/2026"/>
    <x v="5"/>
    <x v="0"/>
    <x v="118"/>
    <x v="116"/>
    <x v="3"/>
    <x v="3"/>
    <m/>
    <x v="0"/>
    <x v="3"/>
    <n v="27455"/>
    <n v="66"/>
    <n v="12"/>
    <n v="1078.7380000000001"/>
    <n v="17.600000000000001"/>
    <n v="30"/>
    <n v="6"/>
    <s v="A|B|C"/>
    <n v="6"/>
    <n v="6"/>
    <n v="0"/>
    <n v="0"/>
    <n v="0"/>
    <n v="12"/>
  </r>
  <r>
    <d v="2026-03-23T00:00:00"/>
    <s v="20/03/2026"/>
    <x v="5"/>
    <x v="0"/>
    <x v="24"/>
    <x v="23"/>
    <x v="3"/>
    <x v="3"/>
    <m/>
    <x v="0"/>
    <x v="3"/>
    <n v="27455"/>
    <n v="30"/>
    <n v="6"/>
    <n v="676.54499999999996"/>
    <n v="0.6"/>
    <n v="30"/>
    <n v="3"/>
    <s v="A|B|C"/>
    <n v="3"/>
    <n v="3"/>
    <n v="0"/>
    <n v="0"/>
    <n v="0"/>
    <n v="6"/>
  </r>
  <r>
    <d v="2026-03-23T00:00:00"/>
    <s v="20/03/2026"/>
    <x v="5"/>
    <x v="0"/>
    <x v="25"/>
    <x v="24"/>
    <x v="3"/>
    <x v="3"/>
    <m/>
    <x v="0"/>
    <x v="3"/>
    <n v="27455"/>
    <n v="20"/>
    <n v="4"/>
    <n v="474.79500000000002"/>
    <n v="20.8"/>
    <n v="20"/>
    <n v="2"/>
    <s v="A|B|C"/>
    <n v="2"/>
    <n v="2"/>
    <n v="0"/>
    <n v="0"/>
    <n v="0"/>
    <n v="4"/>
  </r>
  <r>
    <d v="2026-03-23T00:00:00"/>
    <s v="20/03/2026"/>
    <x v="5"/>
    <x v="0"/>
    <x v="27"/>
    <x v="26"/>
    <x v="3"/>
    <x v="3"/>
    <m/>
    <x v="0"/>
    <x v="3"/>
    <n v="27455"/>
    <n v="10"/>
    <n v="2"/>
    <n v="204.964"/>
    <n v="0.2"/>
    <n v="35"/>
    <n v="1"/>
    <s v="A|B|C"/>
    <n v="1"/>
    <n v="1"/>
    <n v="0"/>
    <n v="0"/>
    <n v="0"/>
    <n v="2"/>
  </r>
  <r>
    <d v="2026-03-23T00:00:00"/>
    <s v="20/03/2026"/>
    <x v="5"/>
    <x v="0"/>
    <x v="104"/>
    <x v="102"/>
    <x v="3"/>
    <x v="3"/>
    <m/>
    <x v="0"/>
    <x v="3"/>
    <n v="27455"/>
    <n v="18"/>
    <n v="4"/>
    <n v="429.26400000000001"/>
    <n v="8.6"/>
    <n v="20"/>
    <n v="2"/>
    <s v="A|B|C"/>
    <n v="2"/>
    <n v="2"/>
    <n v="0"/>
    <n v="0"/>
    <n v="0"/>
    <n v="4"/>
  </r>
  <r>
    <d v="2026-03-23T00:00:00"/>
    <s v="20/03/2026"/>
    <x v="5"/>
    <x v="7"/>
    <x v="143"/>
    <x v="139"/>
    <x v="3"/>
    <x v="3"/>
    <m/>
    <x v="5"/>
    <x v="3"/>
    <n v="27455"/>
    <n v="16"/>
    <n v="2"/>
    <n v="333.13600000000002"/>
    <n v="13.1"/>
    <n v="60"/>
    <n v="1"/>
    <s v="A|B|C"/>
    <n v="1"/>
    <n v="1"/>
    <n v="0"/>
    <n v="0"/>
    <n v="0"/>
    <n v="2"/>
  </r>
  <r>
    <d v="2026-03-23T00:00:00"/>
    <s v="20/03/2026"/>
    <x v="5"/>
    <x v="3"/>
    <x v="144"/>
    <x v="140"/>
    <x v="3"/>
    <x v="3"/>
    <m/>
    <x v="5"/>
    <x v="3"/>
    <n v="27455"/>
    <n v="45"/>
    <n v="13"/>
    <n v="557.45699999999999"/>
    <n v="153.69999999999999"/>
    <n v="30"/>
    <n v="4"/>
    <s v="A|B|C"/>
    <n v="4"/>
    <n v="2"/>
    <n v="1"/>
    <n v="0"/>
    <n v="0"/>
    <n v="7"/>
  </r>
  <r>
    <d v="2026-03-23T00:00:00"/>
    <s v="20/03/2026"/>
    <x v="5"/>
    <x v="3"/>
    <x v="145"/>
    <x v="141"/>
    <x v="3"/>
    <x v="3"/>
    <m/>
    <x v="5"/>
    <x v="3"/>
    <n v="27455"/>
    <n v="69"/>
    <n v="12"/>
    <n v="620.91800000000001"/>
    <n v="118.6"/>
    <n v="15"/>
    <n v="5"/>
    <s v="A|B|C"/>
    <n v="4"/>
    <n v="5"/>
    <n v="0"/>
    <n v="0"/>
    <n v="0"/>
    <n v="9"/>
  </r>
  <r>
    <d v="2026-03-23T00:00:00"/>
    <s v="20/03/2026"/>
    <x v="5"/>
    <x v="3"/>
    <x v="146"/>
    <x v="142"/>
    <x v="3"/>
    <x v="3"/>
    <m/>
    <x v="5"/>
    <x v="3"/>
    <n v="27455"/>
    <n v="53"/>
    <n v="8"/>
    <n v="789.21799999999996"/>
    <n v="88.4"/>
    <n v="20"/>
    <n v="3"/>
    <s v="A|B|C"/>
    <n v="3"/>
    <n v="4"/>
    <n v="0"/>
    <n v="0"/>
    <n v="0"/>
    <n v="7"/>
  </r>
  <r>
    <d v="2026-03-23T00:00:00"/>
    <s v="20/03/2026"/>
    <x v="5"/>
    <x v="3"/>
    <x v="147"/>
    <x v="143"/>
    <x v="3"/>
    <x v="3"/>
    <m/>
    <x v="5"/>
    <x v="3"/>
    <n v="27455"/>
    <n v="65"/>
    <n v="14"/>
    <n v="907.42399999999998"/>
    <n v="74.3"/>
    <n v="8"/>
    <n v="6"/>
    <s v="A|B|C"/>
    <n v="5"/>
    <n v="5"/>
    <n v="1"/>
    <n v="0"/>
    <n v="0"/>
    <n v="11"/>
  </r>
  <r>
    <d v="2026-03-23T00:00:00"/>
    <s v="20/03/2026"/>
    <x v="5"/>
    <x v="3"/>
    <x v="148"/>
    <x v="144"/>
    <x v="3"/>
    <x v="3"/>
    <m/>
    <x v="5"/>
    <x v="3"/>
    <n v="27455"/>
    <n v="77"/>
    <n v="12"/>
    <n v="673.44200000000001"/>
    <n v="59.2"/>
    <n v="12"/>
    <n v="4"/>
    <s v="A|B|C"/>
    <n v="4"/>
    <n v="4"/>
    <n v="0"/>
    <n v="0"/>
    <n v="0"/>
    <n v="8"/>
  </r>
  <r>
    <d v="2026-03-23T00:00:00"/>
    <s v="20/03/2026"/>
    <x v="5"/>
    <x v="3"/>
    <x v="149"/>
    <x v="145"/>
    <x v="3"/>
    <x v="3"/>
    <m/>
    <x v="5"/>
    <x v="3"/>
    <n v="27455"/>
    <n v="31"/>
    <n v="4"/>
    <n v="560.899"/>
    <n v="47.8"/>
    <n v="30"/>
    <n v="2"/>
    <s v="A|B|C"/>
    <n v="3"/>
    <n v="1"/>
    <n v="0"/>
    <n v="0"/>
    <n v="0"/>
    <n v="4"/>
  </r>
  <r>
    <d v="2026-03-23T00:00:00"/>
    <s v="20/03/2026"/>
    <x v="5"/>
    <x v="3"/>
    <x v="150"/>
    <x v="146"/>
    <x v="3"/>
    <x v="3"/>
    <m/>
    <x v="5"/>
    <x v="3"/>
    <n v="27455"/>
    <n v="100"/>
    <n v="27"/>
    <n v="2020.3"/>
    <n v="154.5"/>
    <n v="20"/>
    <n v="13"/>
    <s v="A|B|C"/>
    <n v="11"/>
    <n v="12"/>
    <n v="0"/>
    <n v="0"/>
    <n v="0"/>
    <n v="23"/>
  </r>
  <r>
    <d v="2026-03-23T00:00:00"/>
    <s v="20/03/2026"/>
    <x v="5"/>
    <x v="3"/>
    <x v="151"/>
    <x v="147"/>
    <x v="3"/>
    <x v="3"/>
    <m/>
    <x v="5"/>
    <x v="3"/>
    <n v="27455"/>
    <n v="75"/>
    <n v="12"/>
    <n v="1243.8320000000001"/>
    <n v="56.3"/>
    <n v="30"/>
    <n v="6"/>
    <s v="A|B|C"/>
    <n v="6"/>
    <n v="6"/>
    <n v="0"/>
    <n v="0"/>
    <n v="0"/>
    <n v="12"/>
  </r>
  <r>
    <d v="2026-03-23T00:00:00"/>
    <s v="20/03/2026"/>
    <x v="5"/>
    <x v="3"/>
    <x v="152"/>
    <x v="148"/>
    <x v="3"/>
    <x v="3"/>
    <m/>
    <x v="0"/>
    <x v="3"/>
    <n v="27455"/>
    <n v="45"/>
    <n v="4"/>
    <n v="402.48"/>
    <n v="0.4"/>
    <n v="15"/>
    <n v="2"/>
    <s v="A|B|C"/>
    <n v="2"/>
    <n v="2"/>
    <n v="0"/>
    <n v="0"/>
    <n v="0"/>
    <n v="4"/>
  </r>
  <r>
    <d v="2026-03-23T00:00:00"/>
    <s v="20/03/2026"/>
    <x v="5"/>
    <x v="3"/>
    <x v="153"/>
    <x v="149"/>
    <x v="3"/>
    <x v="3"/>
    <m/>
    <x v="5"/>
    <x v="3"/>
    <n v="27455"/>
    <n v="43"/>
    <n v="8"/>
    <n v="552.745"/>
    <n v="38.78"/>
    <n v="20"/>
    <n v="3"/>
    <s v="A|B|C"/>
    <n v="4"/>
    <n v="2"/>
    <n v="0"/>
    <n v="0"/>
    <n v="0"/>
    <n v="6"/>
  </r>
  <r>
    <d v="2026-03-23T00:00:00"/>
    <s v="20/03/2026"/>
    <x v="5"/>
    <x v="3"/>
    <x v="154"/>
    <x v="150"/>
    <x v="3"/>
    <x v="3"/>
    <m/>
    <x v="5"/>
    <x v="3"/>
    <n v="27455"/>
    <n v="44"/>
    <n v="9"/>
    <n v="1192.3040000000001"/>
    <n v="68.5"/>
    <n v="20"/>
    <n v="5"/>
    <s v="A|B|C"/>
    <n v="4"/>
    <n v="4"/>
    <n v="0"/>
    <n v="0"/>
    <n v="0"/>
    <n v="8"/>
  </r>
  <r>
    <d v="2026-03-23T00:00:00"/>
    <s v="20/03/2026"/>
    <x v="5"/>
    <x v="3"/>
    <x v="155"/>
    <x v="151"/>
    <x v="3"/>
    <x v="3"/>
    <m/>
    <x v="5"/>
    <x v="3"/>
    <n v="27455"/>
    <n v="56"/>
    <n v="12"/>
    <n v="2049.009"/>
    <n v="91.8"/>
    <n v="15"/>
    <n v="4"/>
    <s v="A|B|C"/>
    <n v="6"/>
    <n v="6"/>
    <n v="0"/>
    <n v="0"/>
    <n v="0"/>
    <n v="12"/>
  </r>
  <r>
    <d v="2026-03-23T00:00:00"/>
    <s v="20/03/2026"/>
    <x v="5"/>
    <x v="3"/>
    <x v="156"/>
    <x v="152"/>
    <x v="3"/>
    <x v="3"/>
    <m/>
    <x v="5"/>
    <x v="3"/>
    <n v="27455"/>
    <n v="28"/>
    <n v="3"/>
    <n v="486.72399999999999"/>
    <n v="22.6"/>
    <n v="35"/>
    <n v="1"/>
    <s v="A|B|C"/>
    <n v="3"/>
    <n v="2"/>
    <n v="0"/>
    <n v="0"/>
    <n v="0"/>
    <n v="5"/>
  </r>
  <r>
    <d v="2026-03-23T00:00:00"/>
    <s v="20/03/2026"/>
    <x v="5"/>
    <x v="3"/>
    <x v="68"/>
    <x v="67"/>
    <x v="3"/>
    <x v="3"/>
    <m/>
    <x v="5"/>
    <x v="3"/>
    <n v="27455"/>
    <n v="31"/>
    <n v="4"/>
    <n v="666.97199999999998"/>
    <n v="51.6"/>
    <n v="20"/>
    <n v="2"/>
    <s v="A|B|C"/>
    <n v="2"/>
    <n v="2"/>
    <n v="0"/>
    <n v="0"/>
    <n v="0"/>
    <n v="4"/>
  </r>
  <r>
    <d v="2026-03-23T00:00:00"/>
    <s v="20/03/2026"/>
    <x v="5"/>
    <x v="3"/>
    <x v="157"/>
    <x v="153"/>
    <x v="3"/>
    <x v="3"/>
    <m/>
    <x v="5"/>
    <x v="3"/>
    <n v="27455"/>
    <n v="45"/>
    <n v="12"/>
    <n v="756.58900000000006"/>
    <n v="83.3"/>
    <n v="20"/>
    <n v="7"/>
    <s v="A|B|C"/>
    <n v="4"/>
    <n v="4"/>
    <n v="0"/>
    <n v="0"/>
    <n v="0"/>
    <n v="8"/>
  </r>
  <r>
    <d v="2026-03-23T00:00:00"/>
    <s v="20/03/2026"/>
    <x v="5"/>
    <x v="3"/>
    <x v="158"/>
    <x v="154"/>
    <x v="3"/>
    <x v="3"/>
    <m/>
    <x v="5"/>
    <x v="3"/>
    <n v="27455"/>
    <n v="52"/>
    <n v="16"/>
    <n v="1511.0740000000001"/>
    <n v="109.3"/>
    <n v="15"/>
    <n v="6"/>
    <s v="A|B|C"/>
    <n v="6"/>
    <n v="6"/>
    <n v="0"/>
    <n v="0"/>
    <n v="0"/>
    <n v="12"/>
  </r>
  <r>
    <d v="2026-03-23T00:00:00"/>
    <s v="20/03/2026"/>
    <x v="5"/>
    <x v="3"/>
    <x v="159"/>
    <x v="155"/>
    <x v="3"/>
    <x v="3"/>
    <m/>
    <x v="5"/>
    <x v="3"/>
    <n v="27455"/>
    <n v="50"/>
    <n v="16"/>
    <n v="1577.261"/>
    <n v="115.7"/>
    <n v="20"/>
    <n v="6"/>
    <s v="A|B|C"/>
    <n v="6"/>
    <n v="6"/>
    <n v="0"/>
    <n v="0"/>
    <n v="0"/>
    <n v="12"/>
  </r>
  <r>
    <d v="2026-03-23T00:00:00"/>
    <s v="20/03/2026"/>
    <x v="5"/>
    <x v="3"/>
    <x v="160"/>
    <x v="156"/>
    <x v="3"/>
    <x v="3"/>
    <m/>
    <x v="5"/>
    <x v="3"/>
    <n v="27455"/>
    <n v="62"/>
    <n v="18"/>
    <n v="790.43200000000002"/>
    <n v="196.6"/>
    <n v="10"/>
    <n v="6"/>
    <s v="A|B|C"/>
    <n v="6"/>
    <n v="2"/>
    <n v="3"/>
    <n v="0"/>
    <n v="0"/>
    <n v="11"/>
  </r>
  <r>
    <d v="2026-03-23T00:00:00"/>
    <s v="20/03/2026"/>
    <x v="5"/>
    <x v="3"/>
    <x v="43"/>
    <x v="42"/>
    <x v="3"/>
    <x v="3"/>
    <m/>
    <x v="1"/>
    <x v="3"/>
    <n v="27455"/>
    <n v="27"/>
    <n v="4"/>
    <n v="370.60199999999998"/>
    <n v="0.4"/>
    <n v="20"/>
    <n v="2"/>
    <s v="A|B|C"/>
    <n v="3"/>
    <n v="1"/>
    <n v="1"/>
    <n v="0"/>
    <n v="0"/>
    <n v="5"/>
  </r>
  <r>
    <d v="2026-03-23T00:00:00"/>
    <s v="20/03/2026"/>
    <x v="5"/>
    <x v="0"/>
    <x v="161"/>
    <x v="157"/>
    <x v="3"/>
    <x v="3"/>
    <m/>
    <x v="5"/>
    <x v="3"/>
    <n v="27455"/>
    <n v="54"/>
    <n v="18"/>
    <n v="2135.9699999999998"/>
    <n v="115.2"/>
    <n v="20"/>
    <n v="9"/>
    <s v="A|B|C"/>
    <n v="7"/>
    <n v="7"/>
    <n v="3"/>
    <n v="0"/>
    <n v="0"/>
    <n v="17"/>
  </r>
  <r>
    <d v="2026-03-23T00:00:00"/>
    <s v="20/03/2026"/>
    <x v="5"/>
    <x v="7"/>
    <x v="162"/>
    <x v="158"/>
    <x v="3"/>
    <x v="3"/>
    <m/>
    <x v="5"/>
    <x v="3"/>
    <n v="27455"/>
    <n v="18"/>
    <n v="2"/>
    <n v="384.87400000000002"/>
    <n v="23.9"/>
    <n v="60"/>
    <n v="1"/>
    <s v="A|B|C"/>
    <n v="1"/>
    <n v="1"/>
    <n v="0"/>
    <n v="0"/>
    <n v="0"/>
    <n v="2"/>
  </r>
  <r>
    <d v="2026-03-23T00:00:00"/>
    <s v="20/03/2026"/>
    <x v="5"/>
    <x v="1"/>
    <x v="115"/>
    <x v="113"/>
    <x v="3"/>
    <x v="3"/>
    <m/>
    <x v="0"/>
    <x v="3"/>
    <n v="27455"/>
    <n v="79"/>
    <n v="20"/>
    <n v="1828.5650000000001"/>
    <n v="260.2"/>
    <n v="15"/>
    <n v="10"/>
    <s v="A|B|C"/>
    <n v="11"/>
    <n v="8"/>
    <n v="1"/>
    <n v="0"/>
    <n v="0"/>
    <n v="20"/>
  </r>
  <r>
    <d v="2026-03-23T00:00:00"/>
    <s v="20/03/2026"/>
    <x v="5"/>
    <x v="1"/>
    <x v="47"/>
    <x v="46"/>
    <x v="3"/>
    <x v="3"/>
    <m/>
    <x v="0"/>
    <x v="3"/>
    <n v="27455"/>
    <n v="22"/>
    <n v="4"/>
    <n v="682.30600000000004"/>
    <n v="0.4"/>
    <n v="20"/>
    <n v="2"/>
    <s v="A|B|C"/>
    <n v="3"/>
    <n v="1"/>
    <n v="1"/>
    <n v="0"/>
    <n v="0"/>
    <n v="5"/>
  </r>
  <r>
    <d v="2026-03-23T00:00:00"/>
    <s v="20/03/2026"/>
    <x v="5"/>
    <x v="1"/>
    <x v="44"/>
    <x v="43"/>
    <x v="3"/>
    <x v="3"/>
    <m/>
    <x v="3"/>
    <x v="3"/>
    <n v="27455"/>
    <n v="8"/>
    <n v="2"/>
    <n v="247.72399999999999"/>
    <n v="6.5"/>
    <n v="30"/>
    <n v="1"/>
    <s v="A|B|C"/>
    <n v="1"/>
    <n v="1"/>
    <n v="0"/>
    <n v="0"/>
    <n v="0"/>
    <n v="2"/>
  </r>
  <r>
    <d v="2026-03-23T00:00:00"/>
    <s v="20/03/2026"/>
    <x v="5"/>
    <x v="1"/>
    <x v="117"/>
    <x v="115"/>
    <x v="3"/>
    <x v="3"/>
    <m/>
    <x v="5"/>
    <x v="3"/>
    <n v="27455"/>
    <n v="53"/>
    <n v="14"/>
    <n v="1537.96"/>
    <n v="271.7"/>
    <n v="25"/>
    <n v="6"/>
    <s v="A|B|C"/>
    <n v="8"/>
    <n v="6"/>
    <n v="1"/>
    <n v="0"/>
    <n v="0"/>
    <n v="15"/>
  </r>
  <r>
    <d v="2026-03-23T00:00:00"/>
    <s v="20/03/2026"/>
    <x v="5"/>
    <x v="1"/>
    <x v="93"/>
    <x v="92"/>
    <x v="3"/>
    <x v="3"/>
    <m/>
    <x v="0"/>
    <x v="3"/>
    <n v="27455"/>
    <n v="12"/>
    <n v="2"/>
    <n v="590.4"/>
    <n v="0.2"/>
    <n v="30"/>
    <n v="1"/>
    <s v="A|B|C"/>
    <n v="1"/>
    <n v="1"/>
    <n v="0"/>
    <n v="0"/>
    <n v="0"/>
    <n v="2"/>
  </r>
  <r>
    <d v="2026-03-23T00:00:00"/>
    <s v="20/03/2026"/>
    <x v="6"/>
    <x v="0"/>
    <x v="96"/>
    <x v="95"/>
    <x v="6"/>
    <x v="2"/>
    <s v="EKG"/>
    <x v="5"/>
    <x v="4"/>
    <n v="27451"/>
    <n v="47"/>
    <n v="12"/>
    <n v="376.48200000000003"/>
    <n v="72.599999999999994"/>
    <n v="20"/>
    <n v="4"/>
    <s v="A|B|C"/>
    <n v="4"/>
    <n v="2"/>
    <n v="2"/>
    <n v="0"/>
    <n v="0"/>
    <n v="8"/>
  </r>
  <r>
    <d v="2026-03-24T00:00:00"/>
    <s v="20/03/2026"/>
    <x v="6"/>
    <x v="0"/>
    <x v="164"/>
    <x v="160"/>
    <x v="6"/>
    <x v="2"/>
    <s v="EKG"/>
    <x v="1"/>
    <x v="4"/>
    <n v="27451"/>
    <n v="28"/>
    <n v="6"/>
    <n v="266.952"/>
    <n v="60.3"/>
    <n v="30"/>
    <n v="2"/>
    <s v="A|B|C"/>
    <n v="2"/>
    <n v="1"/>
    <n v="1"/>
    <n v="0"/>
    <n v="0"/>
    <n v="4"/>
  </r>
  <r>
    <d v="2026-03-24T00:00:00"/>
    <s v="20/03/2026"/>
    <x v="6"/>
    <x v="0"/>
    <x v="165"/>
    <x v="161"/>
    <x v="6"/>
    <x v="2"/>
    <s v="EKG"/>
    <x v="1"/>
    <x v="4"/>
    <n v="27451"/>
    <n v="28"/>
    <n v="20"/>
    <n v="370.27300000000002"/>
    <n v="96.2"/>
    <n v="20"/>
    <n v="5"/>
    <s v="A|B|C"/>
    <n v="5"/>
    <n v="0"/>
    <n v="0"/>
    <n v="0"/>
    <n v="0"/>
    <n v="5"/>
  </r>
  <r>
    <d v="2026-03-24T00:00:00"/>
    <s v="20/03/2026"/>
    <x v="6"/>
    <x v="0"/>
    <x v="166"/>
    <x v="162"/>
    <x v="6"/>
    <x v="2"/>
    <s v="EKG"/>
    <x v="1"/>
    <x v="4"/>
    <n v="27451"/>
    <n v="28"/>
    <n v="20"/>
    <n v="318.45800000000003"/>
    <n v="77.599999999999994"/>
    <n v="20"/>
    <n v="5"/>
    <s v="A|B|C"/>
    <n v="5"/>
    <n v="0"/>
    <n v="0"/>
    <n v="0"/>
    <n v="0"/>
    <n v="5"/>
  </r>
  <r>
    <d v="2026-03-24T00:00:00"/>
    <s v="20/03/2026"/>
    <x v="6"/>
    <x v="0"/>
    <x v="167"/>
    <x v="163"/>
    <x v="6"/>
    <x v="2"/>
    <s v="EKG"/>
    <x v="4"/>
    <x v="4"/>
    <n v="27451"/>
    <n v="87"/>
    <n v="14"/>
    <n v="1238.3119999999999"/>
    <n v="155.30000000000001"/>
    <n v="25"/>
    <n v="7"/>
    <s v="A|B|C"/>
    <n v="5"/>
    <n v="7"/>
    <n v="0"/>
    <n v="0"/>
    <n v="0"/>
    <n v="12"/>
  </r>
  <r>
    <d v="2026-03-24T00:00:00"/>
    <s v="20/03/2026"/>
    <x v="6"/>
    <x v="0"/>
    <x v="168"/>
    <x v="164"/>
    <x v="6"/>
    <x v="2"/>
    <s v="EKG"/>
    <x v="0"/>
    <x v="4"/>
    <n v="27451"/>
    <n v="45"/>
    <n v="10"/>
    <n v="662.44500000000005"/>
    <n v="39.5"/>
    <n v="20"/>
    <n v="4"/>
    <s v="A|B|C"/>
    <n v="4"/>
    <n v="4"/>
    <n v="0"/>
    <n v="0"/>
    <n v="0"/>
    <n v="8"/>
  </r>
  <r>
    <d v="2026-03-24T00:00:00"/>
    <s v="20/03/2026"/>
    <x v="6"/>
    <x v="0"/>
    <x v="169"/>
    <x v="165"/>
    <x v="6"/>
    <x v="2"/>
    <s v="EKG"/>
    <x v="0"/>
    <x v="4"/>
    <n v="27451"/>
    <n v="15"/>
    <n v="12"/>
    <n v="433.14"/>
    <n v="42.9"/>
    <n v="30"/>
    <n v="3"/>
    <s v="A|B|C"/>
    <n v="3"/>
    <n v="2"/>
    <n v="1"/>
    <n v="0"/>
    <n v="0"/>
    <n v="6"/>
  </r>
  <r>
    <d v="2026-03-24T00:00:00"/>
    <s v="20/03/2026"/>
    <x v="6"/>
    <x v="0"/>
    <x v="46"/>
    <x v="45"/>
    <x v="6"/>
    <x v="2"/>
    <s v="EKG"/>
    <x v="0"/>
    <x v="4"/>
    <n v="27451"/>
    <n v="4"/>
    <n v="2"/>
    <n v="69.384"/>
    <n v="14.1"/>
    <n v="20"/>
    <n v="1"/>
    <s v="A|B|C"/>
    <n v="0"/>
    <n v="0"/>
    <n v="1"/>
    <n v="0"/>
    <n v="0"/>
    <n v="1"/>
  </r>
  <r>
    <d v="2026-03-24T00:00:00"/>
    <s v="20/03/2026"/>
    <x v="6"/>
    <x v="8"/>
    <x v="170"/>
    <x v="166"/>
    <x v="6"/>
    <x v="2"/>
    <s v="EKG"/>
    <x v="4"/>
    <x v="4"/>
    <n v="27451"/>
    <n v="92"/>
    <n v="24"/>
    <n v="13662.552"/>
    <n v="175"/>
    <n v="25"/>
    <n v="12"/>
    <s v="A|B|C"/>
    <n v="21"/>
    <n v="9"/>
    <n v="12"/>
    <n v="0"/>
    <n v="0"/>
    <n v="42"/>
  </r>
  <r>
    <d v="2026-03-24T00:00:00"/>
    <s v="20/03/2026"/>
    <x v="6"/>
    <x v="8"/>
    <x v="171"/>
    <x v="167"/>
    <x v="6"/>
    <x v="2"/>
    <s v="EKG"/>
    <x v="4"/>
    <x v="4"/>
    <n v="27451"/>
    <n v="48"/>
    <n v="22"/>
    <n v="5712.0050000000001"/>
    <n v="184.12"/>
    <n v="60"/>
    <n v="5"/>
    <s v="A|B|C"/>
    <n v="6"/>
    <n v="4"/>
    <n v="4"/>
    <n v="0"/>
    <n v="0"/>
    <n v="14"/>
  </r>
  <r>
    <d v="2026-03-24T00:00:00"/>
    <s v="20/03/2026"/>
    <x v="6"/>
    <x v="0"/>
    <x v="172"/>
    <x v="168"/>
    <x v="6"/>
    <x v="2"/>
    <s v="EKG"/>
    <x v="4"/>
    <x v="4"/>
    <n v="27451"/>
    <n v="18"/>
    <n v="8"/>
    <n v="3027.8429999999998"/>
    <n v="42"/>
    <n v="115"/>
    <n v="4"/>
    <s v="A|B|C"/>
    <n v="4"/>
    <n v="2"/>
    <n v="3"/>
    <n v="0"/>
    <n v="0"/>
    <n v="9"/>
  </r>
  <r>
    <d v="2026-03-24T00:00:00"/>
    <s v="20/03/2026"/>
    <x v="6"/>
    <x v="8"/>
    <x v="173"/>
    <x v="169"/>
    <x v="6"/>
    <x v="2"/>
    <s v="EKG"/>
    <x v="4"/>
    <x v="4"/>
    <n v="27451"/>
    <n v="40"/>
    <n v="12"/>
    <n v="5566"/>
    <n v="210"/>
    <n v="55"/>
    <n v="6"/>
    <s v="A|B|C"/>
    <n v="10"/>
    <n v="4"/>
    <n v="6"/>
    <n v="0"/>
    <n v="0"/>
    <n v="20"/>
  </r>
  <r>
    <d v="2026-03-24T00:00:00"/>
    <s v="20/03/2026"/>
    <x v="6"/>
    <x v="8"/>
    <x v="106"/>
    <x v="104"/>
    <x v="6"/>
    <x v="2"/>
    <s v="EKG"/>
    <x v="3"/>
    <x v="4"/>
    <n v="27451"/>
    <n v="165"/>
    <n v="28"/>
    <n v="2739.616"/>
    <n v="272"/>
    <n v="12"/>
    <n v="14"/>
    <s v="A|B|C"/>
    <n v="12"/>
    <n v="12"/>
    <n v="3"/>
    <n v="0"/>
    <n v="0"/>
    <n v="27"/>
  </r>
  <r>
    <d v="2026-03-24T00:00:00"/>
    <s v="20/03/2026"/>
    <x v="6"/>
    <x v="8"/>
    <x v="174"/>
    <x v="170"/>
    <x v="6"/>
    <x v="2"/>
    <s v="EKG"/>
    <x v="3"/>
    <x v="4"/>
    <n v="27451"/>
    <n v="71"/>
    <n v="16"/>
    <n v="1442.1990000000001"/>
    <n v="145.19999999999999"/>
    <n v="20"/>
    <n v="7"/>
    <s v="A|B|C"/>
    <n v="7"/>
    <n v="7"/>
    <n v="0"/>
    <n v="0"/>
    <n v="0"/>
    <n v="14"/>
  </r>
  <r>
    <d v="2026-03-24T00:00:00"/>
    <s v="20/03/2026"/>
    <x v="6"/>
    <x v="8"/>
    <x v="119"/>
    <x v="117"/>
    <x v="6"/>
    <x v="2"/>
    <s v="EKG"/>
    <x v="3"/>
    <x v="4"/>
    <n v="27451"/>
    <n v="106"/>
    <n v="24"/>
    <n v="1525.1120000000001"/>
    <n v="196.7"/>
    <n v="15"/>
    <n v="8"/>
    <s v="A|B|C"/>
    <n v="7"/>
    <n v="7"/>
    <n v="3"/>
    <n v="0"/>
    <n v="0"/>
    <n v="17"/>
  </r>
  <r>
    <d v="2026-03-24T00:00:00"/>
    <s v="20/03/2026"/>
    <x v="6"/>
    <x v="8"/>
    <x v="107"/>
    <x v="105"/>
    <x v="6"/>
    <x v="2"/>
    <s v="EKG"/>
    <x v="3"/>
    <x v="4"/>
    <n v="27451"/>
    <n v="54"/>
    <n v="8"/>
    <n v="812.452"/>
    <n v="76.400000000000006"/>
    <n v="30"/>
    <n v="4"/>
    <s v="A|B|C"/>
    <n v="4"/>
    <n v="4"/>
    <n v="0"/>
    <n v="0"/>
    <n v="0"/>
    <n v="8"/>
  </r>
  <r>
    <d v="2026-03-24T00:00:00"/>
    <s v="20/03/2026"/>
    <x v="6"/>
    <x v="8"/>
    <x v="108"/>
    <x v="106"/>
    <x v="6"/>
    <x v="2"/>
    <s v="EKG"/>
    <x v="3"/>
    <x v="4"/>
    <n v="27451"/>
    <n v="56"/>
    <n v="6"/>
    <n v="611.31600000000003"/>
    <n v="57.3"/>
    <n v="30"/>
    <n v="3"/>
    <s v="A|B|C"/>
    <n v="4"/>
    <n v="2"/>
    <n v="1"/>
    <n v="0"/>
    <n v="0"/>
    <n v="7"/>
  </r>
  <r>
    <d v="2026-03-24T00:00:00"/>
    <s v="20/03/2026"/>
    <x v="6"/>
    <x v="4"/>
    <x v="175"/>
    <x v="171"/>
    <x v="6"/>
    <x v="2"/>
    <s v="EKG"/>
    <x v="3"/>
    <x v="4"/>
    <n v="27451"/>
    <n v="101"/>
    <n v="10"/>
    <n v="699.13800000000003"/>
    <n v="59.6"/>
    <n v="20"/>
    <n v="4"/>
    <s v="A|B|C"/>
    <n v="4"/>
    <n v="3"/>
    <n v="4"/>
    <n v="0"/>
    <n v="0"/>
    <n v="11"/>
  </r>
  <r>
    <d v="2026-03-24T00:00:00"/>
    <s v="20/03/2026"/>
    <x v="6"/>
    <x v="8"/>
    <x v="176"/>
    <x v="172"/>
    <x v="6"/>
    <x v="2"/>
    <s v="EKG"/>
    <x v="4"/>
    <x v="4"/>
    <n v="27451"/>
    <n v="73"/>
    <n v="8"/>
    <n v="710.14800000000002"/>
    <n v="66.3"/>
    <n v="30"/>
    <n v="4"/>
    <s v="A|B|C"/>
    <n v="4"/>
    <n v="4"/>
    <n v="0"/>
    <n v="0"/>
    <n v="0"/>
    <n v="8"/>
  </r>
  <r>
    <d v="2026-03-24T00:00:00"/>
    <s v="20/03/2026"/>
    <x v="6"/>
    <x v="8"/>
    <x v="109"/>
    <x v="107"/>
    <x v="6"/>
    <x v="2"/>
    <s v="EKG"/>
    <x v="3"/>
    <x v="4"/>
    <n v="27451"/>
    <n v="93"/>
    <n v="20"/>
    <n v="3086.2669999999998"/>
    <n v="281.89999999999998"/>
    <n v="20"/>
    <n v="9"/>
    <s v="A|B|C"/>
    <n v="11"/>
    <n v="6"/>
    <n v="4"/>
    <n v="0"/>
    <n v="0"/>
    <n v="21"/>
  </r>
  <r>
    <d v="2026-03-24T00:00:00"/>
    <s v="20/03/2026"/>
    <x v="6"/>
    <x v="8"/>
    <x v="177"/>
    <x v="173"/>
    <x v="6"/>
    <x v="2"/>
    <s v="EKG"/>
    <x v="4"/>
    <x v="4"/>
    <n v="27451"/>
    <n v="32"/>
    <n v="12"/>
    <n v="866.81600000000003"/>
    <n v="68.400000000000006"/>
    <n v="60"/>
    <n v="3"/>
    <s v="A|B|C"/>
    <n v="3"/>
    <n v="3"/>
    <n v="0"/>
    <n v="0"/>
    <n v="0"/>
    <n v="6"/>
  </r>
  <r>
    <d v="2026-03-24T00:00:00"/>
    <s v="20/03/2026"/>
    <x v="6"/>
    <x v="8"/>
    <x v="178"/>
    <x v="174"/>
    <x v="6"/>
    <x v="2"/>
    <s v="EKG"/>
    <x v="4"/>
    <x v="4"/>
    <n v="27451"/>
    <n v="20"/>
    <n v="6"/>
    <n v="2410.69"/>
    <n v="0.6"/>
    <n v="100"/>
    <n v="3"/>
    <s v="A|B|C"/>
    <n v="4"/>
    <n v="2"/>
    <n v="1"/>
    <n v="0"/>
    <n v="0"/>
    <n v="7"/>
  </r>
  <r>
    <d v="2026-03-24T00:00:00"/>
    <s v="20/03/2026"/>
    <x v="6"/>
    <x v="3"/>
    <x v="112"/>
    <x v="110"/>
    <x v="6"/>
    <x v="2"/>
    <s v="EKG"/>
    <x v="3"/>
    <x v="4"/>
    <n v="27451"/>
    <n v="201"/>
    <n v="22"/>
    <n v="831.63099999999997"/>
    <n v="81.400000000000006"/>
    <n v="10"/>
    <n v="8"/>
    <s v="A|B|C"/>
    <n v="7"/>
    <n v="6"/>
    <n v="2"/>
    <n v="0"/>
    <n v="0"/>
    <n v="15"/>
  </r>
  <r>
    <d v="2026-03-24T00:00:00"/>
    <s v="20/03/2026"/>
    <x v="6"/>
    <x v="3"/>
    <x v="113"/>
    <x v="111"/>
    <x v="6"/>
    <x v="2"/>
    <s v="EKG"/>
    <x v="3"/>
    <x v="4"/>
    <n v="27451"/>
    <n v="147"/>
    <n v="22"/>
    <n v="485.06200000000001"/>
    <n v="84.4"/>
    <n v="7"/>
    <n v="7"/>
    <s v="A|B|C"/>
    <n v="5"/>
    <n v="7"/>
    <n v="0"/>
    <n v="0"/>
    <n v="0"/>
    <n v="12"/>
  </r>
  <r>
    <d v="2026-03-24T00:00:00"/>
    <s v="20/03/2026"/>
    <x v="6"/>
    <x v="4"/>
    <x v="179"/>
    <x v="168"/>
    <x v="6"/>
    <x v="2"/>
    <s v="EKG"/>
    <x v="4"/>
    <x v="4"/>
    <n v="27451"/>
    <n v="18"/>
    <n v="6"/>
    <n v="2439.261"/>
    <n v="21.2"/>
    <n v="120"/>
    <n v="3"/>
    <s v="A|B|C"/>
    <n v="4"/>
    <n v="2"/>
    <n v="3"/>
    <n v="0"/>
    <n v="0"/>
    <n v="9"/>
  </r>
  <r>
    <d v="2026-03-24T00:00:00"/>
    <s v="20/03/2026"/>
    <x v="6"/>
    <x v="6"/>
    <x v="180"/>
    <x v="175"/>
    <x v="6"/>
    <x v="2"/>
    <s v="EKG"/>
    <x v="4"/>
    <x v="4"/>
    <n v="27451"/>
    <n v="14"/>
    <n v="6"/>
    <n v="1876.546"/>
    <n v="130.80000000000001"/>
    <n v="120"/>
    <n v="3"/>
    <s v="A|B|C"/>
    <n v="3"/>
    <n v="2"/>
    <n v="2"/>
    <n v="0"/>
    <n v="0"/>
    <n v="7"/>
  </r>
  <r>
    <d v="2026-03-24T00:00:00"/>
    <s v="20/03/2026"/>
    <x v="6"/>
    <x v="10"/>
    <x v="181"/>
    <x v="176"/>
    <x v="6"/>
    <x v="2"/>
    <s v="EKG"/>
    <x v="1"/>
    <x v="4"/>
    <n v="27451"/>
    <n v="50"/>
    <n v="6"/>
    <n v="508.125"/>
    <n v="14.2"/>
    <n v="30"/>
    <n v="2"/>
    <s v="A|B|C"/>
    <n v="2"/>
    <n v="2"/>
    <n v="0"/>
    <n v="0"/>
    <n v="0"/>
    <n v="4"/>
  </r>
  <r>
    <d v="2026-03-24T00:00:00"/>
    <s v="20/03/2026"/>
    <x v="6"/>
    <x v="6"/>
    <x v="182"/>
    <x v="177"/>
    <x v="6"/>
    <x v="2"/>
    <s v="EKG"/>
    <x v="1"/>
    <x v="4"/>
    <n v="27451"/>
    <n v="29"/>
    <n v="32"/>
    <n v="836.96900000000005"/>
    <n v="3.278"/>
    <n v="30"/>
    <n v="3"/>
    <s v="A|B|C"/>
    <n v="3"/>
    <n v="3"/>
    <n v="0"/>
    <n v="0"/>
    <n v="0"/>
    <n v="6"/>
  </r>
  <r>
    <d v="2026-03-24T00:00:00"/>
    <s v="20/03/2026"/>
    <x v="6"/>
    <x v="9"/>
    <x v="183"/>
    <x v="178"/>
    <x v="6"/>
    <x v="2"/>
    <s v="EKG"/>
    <x v="4"/>
    <x v="4"/>
    <n v="27451"/>
    <n v="16"/>
    <n v="6"/>
    <n v="523.54399999999998"/>
    <n v="45.3"/>
    <n v="60"/>
    <n v="3"/>
    <s v="A|B|C"/>
    <n v="0"/>
    <n v="0"/>
    <n v="3"/>
    <n v="0"/>
    <n v="0"/>
    <n v="3"/>
  </r>
  <r>
    <d v="2026-03-24T00:00:00"/>
    <s v="20/03/2026"/>
    <x v="6"/>
    <x v="4"/>
    <x v="184"/>
    <x v="179"/>
    <x v="6"/>
    <x v="2"/>
    <s v="EKG"/>
    <x v="4"/>
    <x v="4"/>
    <n v="27451"/>
    <n v="22"/>
    <n v="10"/>
    <n v="795.52"/>
    <n v="215"/>
    <n v="60"/>
    <n v="5"/>
    <s v="A|B|C"/>
    <n v="5"/>
    <n v="3"/>
    <n v="2"/>
    <n v="0"/>
    <n v="0"/>
    <n v="10"/>
  </r>
  <r>
    <d v="2026-03-24T00:00:00"/>
    <s v="20/03/2026"/>
    <x v="6"/>
    <x v="0"/>
    <x v="96"/>
    <x v="95"/>
    <x v="6"/>
    <x v="2"/>
    <s v="EKG"/>
    <x v="5"/>
    <x v="5"/>
    <n v="27449"/>
    <n v="47"/>
    <n v="12"/>
    <n v="376.48200000000003"/>
    <n v="72.599999999999994"/>
    <n v="20"/>
    <n v="4"/>
    <s v="A|B|C"/>
    <n v="4"/>
    <n v="2"/>
    <n v="2"/>
    <n v="0"/>
    <n v="0"/>
    <n v="8"/>
  </r>
  <r>
    <d v="2026-03-24T00:00:00"/>
    <s v="20/03/2026"/>
    <x v="6"/>
    <x v="0"/>
    <x v="164"/>
    <x v="160"/>
    <x v="6"/>
    <x v="2"/>
    <s v="EKG"/>
    <x v="1"/>
    <x v="5"/>
    <n v="27449"/>
    <n v="28"/>
    <n v="6"/>
    <n v="266.952"/>
    <n v="60.3"/>
    <n v="30"/>
    <n v="2"/>
    <s v="A|B|C"/>
    <n v="2"/>
    <n v="1"/>
    <n v="1"/>
    <n v="0"/>
    <n v="0"/>
    <n v="4"/>
  </r>
  <r>
    <d v="2026-03-24T00:00:00"/>
    <s v="20/03/2026"/>
    <x v="6"/>
    <x v="0"/>
    <x v="165"/>
    <x v="161"/>
    <x v="6"/>
    <x v="2"/>
    <s v="EKG"/>
    <x v="1"/>
    <x v="5"/>
    <n v="27449"/>
    <n v="28"/>
    <n v="20"/>
    <n v="370.27300000000002"/>
    <n v="96.2"/>
    <n v="20"/>
    <n v="5"/>
    <s v="A|B|C"/>
    <n v="5"/>
    <n v="0"/>
    <n v="0"/>
    <n v="0"/>
    <n v="0"/>
    <n v="5"/>
  </r>
  <r>
    <d v="2026-03-24T00:00:00"/>
    <s v="20/03/2026"/>
    <x v="6"/>
    <x v="0"/>
    <x v="166"/>
    <x v="162"/>
    <x v="6"/>
    <x v="2"/>
    <s v="EKG"/>
    <x v="1"/>
    <x v="5"/>
    <n v="27449"/>
    <n v="28"/>
    <n v="20"/>
    <n v="318.45800000000003"/>
    <n v="77.599999999999994"/>
    <n v="20"/>
    <n v="5"/>
    <s v="A|B|C"/>
    <n v="5"/>
    <n v="0"/>
    <n v="0"/>
    <n v="0"/>
    <n v="0"/>
    <n v="5"/>
  </r>
  <r>
    <d v="2026-03-24T00:00:00"/>
    <s v="20/03/2026"/>
    <x v="6"/>
    <x v="0"/>
    <x v="167"/>
    <x v="163"/>
    <x v="6"/>
    <x v="2"/>
    <s v="EKG"/>
    <x v="4"/>
    <x v="5"/>
    <n v="27449"/>
    <n v="87"/>
    <n v="14"/>
    <n v="1238.3119999999999"/>
    <n v="155.30000000000001"/>
    <n v="25"/>
    <n v="7"/>
    <s v="A|B|C"/>
    <n v="5"/>
    <n v="7"/>
    <n v="0"/>
    <n v="0"/>
    <n v="0"/>
    <n v="12"/>
  </r>
  <r>
    <d v="2026-03-25T00:00:00"/>
    <s v="20/03/2026"/>
    <x v="6"/>
    <x v="0"/>
    <x v="168"/>
    <x v="164"/>
    <x v="6"/>
    <x v="2"/>
    <s v="EKG"/>
    <x v="0"/>
    <x v="5"/>
    <n v="27449"/>
    <n v="45"/>
    <n v="10"/>
    <n v="662.44500000000005"/>
    <n v="39.5"/>
    <n v="20"/>
    <n v="4"/>
    <s v="A|B|C"/>
    <n v="4"/>
    <n v="4"/>
    <n v="0"/>
    <n v="0"/>
    <n v="0"/>
    <n v="8"/>
  </r>
  <r>
    <d v="2026-03-25T00:00:00"/>
    <s v="20/03/2026"/>
    <x v="6"/>
    <x v="0"/>
    <x v="169"/>
    <x v="165"/>
    <x v="6"/>
    <x v="2"/>
    <s v="EKG"/>
    <x v="0"/>
    <x v="5"/>
    <n v="27449"/>
    <n v="15"/>
    <n v="12"/>
    <n v="433.14"/>
    <n v="42.9"/>
    <n v="30"/>
    <n v="3"/>
    <s v="A|B|C"/>
    <n v="3"/>
    <n v="2"/>
    <n v="1"/>
    <n v="0"/>
    <n v="0"/>
    <n v="6"/>
  </r>
  <r>
    <d v="2026-03-25T00:00:00"/>
    <s v="20/03/2026"/>
    <x v="6"/>
    <x v="0"/>
    <x v="46"/>
    <x v="45"/>
    <x v="6"/>
    <x v="2"/>
    <s v="EKG"/>
    <x v="0"/>
    <x v="5"/>
    <n v="27449"/>
    <n v="4"/>
    <n v="2"/>
    <n v="69.384"/>
    <n v="14.1"/>
    <n v="20"/>
    <n v="1"/>
    <s v="A|B|C"/>
    <n v="0"/>
    <n v="0"/>
    <n v="1"/>
    <n v="0"/>
    <n v="0"/>
    <n v="1"/>
  </r>
  <r>
    <d v="2026-03-25T00:00:00"/>
    <s v="20/03/2026"/>
    <x v="6"/>
    <x v="8"/>
    <x v="170"/>
    <x v="166"/>
    <x v="6"/>
    <x v="2"/>
    <s v="EKG"/>
    <x v="4"/>
    <x v="5"/>
    <n v="27449"/>
    <n v="92"/>
    <n v="24"/>
    <n v="13662.552"/>
    <n v="175"/>
    <n v="25"/>
    <n v="12"/>
    <s v="A|B|C"/>
    <n v="21"/>
    <n v="9"/>
    <n v="12"/>
    <n v="0"/>
    <n v="0"/>
    <n v="42"/>
  </r>
  <r>
    <d v="2026-03-25T00:00:00"/>
    <s v="20/03/2026"/>
    <x v="6"/>
    <x v="8"/>
    <x v="171"/>
    <x v="167"/>
    <x v="6"/>
    <x v="2"/>
    <s v="EKG"/>
    <x v="4"/>
    <x v="5"/>
    <n v="27449"/>
    <n v="48"/>
    <n v="22"/>
    <n v="5712.0050000000001"/>
    <n v="184.12"/>
    <n v="60"/>
    <n v="5"/>
    <s v="A|B|C"/>
    <n v="6"/>
    <n v="4"/>
    <n v="4"/>
    <n v="0"/>
    <n v="0"/>
    <n v="14"/>
  </r>
  <r>
    <d v="2026-03-25T00:00:00"/>
    <s v="20/03/2026"/>
    <x v="6"/>
    <x v="0"/>
    <x v="172"/>
    <x v="168"/>
    <x v="6"/>
    <x v="2"/>
    <s v="EKG"/>
    <x v="4"/>
    <x v="5"/>
    <n v="27449"/>
    <n v="18"/>
    <n v="8"/>
    <n v="3027.8429999999998"/>
    <n v="42"/>
    <n v="115"/>
    <n v="4"/>
    <s v="A|B|C"/>
    <n v="4"/>
    <n v="2"/>
    <n v="3"/>
    <n v="0"/>
    <n v="0"/>
    <n v="9"/>
  </r>
  <r>
    <d v="2026-03-25T00:00:00"/>
    <s v="20/03/2026"/>
    <x v="6"/>
    <x v="8"/>
    <x v="173"/>
    <x v="169"/>
    <x v="6"/>
    <x v="2"/>
    <s v="EKG"/>
    <x v="4"/>
    <x v="5"/>
    <n v="27449"/>
    <n v="40"/>
    <n v="12"/>
    <n v="5566"/>
    <n v="210"/>
    <n v="55"/>
    <n v="6"/>
    <s v="A|B|C"/>
    <n v="10"/>
    <n v="4"/>
    <n v="6"/>
    <n v="0"/>
    <n v="0"/>
    <n v="20"/>
  </r>
  <r>
    <d v="2026-03-25T00:00:00"/>
    <s v="20/03/2026"/>
    <x v="6"/>
    <x v="8"/>
    <x v="106"/>
    <x v="104"/>
    <x v="6"/>
    <x v="2"/>
    <s v="EKG"/>
    <x v="3"/>
    <x v="5"/>
    <n v="27449"/>
    <n v="165"/>
    <n v="28"/>
    <n v="2739.616"/>
    <n v="272"/>
    <n v="12"/>
    <n v="14"/>
    <s v="A|B|C"/>
    <n v="12"/>
    <n v="12"/>
    <n v="3"/>
    <n v="0"/>
    <n v="0"/>
    <n v="27"/>
  </r>
  <r>
    <d v="2026-03-25T00:00:00"/>
    <s v="20/03/2026"/>
    <x v="6"/>
    <x v="8"/>
    <x v="174"/>
    <x v="170"/>
    <x v="6"/>
    <x v="2"/>
    <s v="EKG"/>
    <x v="3"/>
    <x v="5"/>
    <n v="27449"/>
    <n v="71"/>
    <n v="16"/>
    <n v="1442.1990000000001"/>
    <n v="145.19999999999999"/>
    <n v="20"/>
    <n v="7"/>
    <s v="A|B|C"/>
    <n v="7"/>
    <n v="7"/>
    <n v="0"/>
    <n v="0"/>
    <n v="0"/>
    <n v="14"/>
  </r>
  <r>
    <d v="2026-03-25T00:00:00"/>
    <s v="20/03/2026"/>
    <x v="6"/>
    <x v="8"/>
    <x v="119"/>
    <x v="117"/>
    <x v="6"/>
    <x v="2"/>
    <s v="EKG"/>
    <x v="3"/>
    <x v="5"/>
    <n v="27449"/>
    <n v="106"/>
    <n v="24"/>
    <n v="1525.1120000000001"/>
    <n v="196.7"/>
    <n v="15"/>
    <n v="8"/>
    <s v="A|B|C"/>
    <n v="7"/>
    <n v="7"/>
    <n v="3"/>
    <n v="0"/>
    <n v="0"/>
    <n v="17"/>
  </r>
  <r>
    <d v="2026-03-25T00:00:00"/>
    <s v="20/03/2026"/>
    <x v="6"/>
    <x v="8"/>
    <x v="107"/>
    <x v="105"/>
    <x v="6"/>
    <x v="2"/>
    <s v="EKG"/>
    <x v="3"/>
    <x v="5"/>
    <n v="27449"/>
    <n v="54"/>
    <n v="8"/>
    <n v="812.452"/>
    <n v="76.400000000000006"/>
    <n v="30"/>
    <n v="4"/>
    <s v="A|B|C"/>
    <n v="4"/>
    <n v="4"/>
    <n v="0"/>
    <n v="0"/>
    <n v="0"/>
    <n v="8"/>
  </r>
  <r>
    <d v="2026-03-25T00:00:00"/>
    <s v="20/03/2026"/>
    <x v="6"/>
    <x v="8"/>
    <x v="108"/>
    <x v="106"/>
    <x v="6"/>
    <x v="2"/>
    <s v="EKG"/>
    <x v="3"/>
    <x v="5"/>
    <n v="27449"/>
    <n v="56"/>
    <n v="6"/>
    <n v="611.31600000000003"/>
    <n v="57.3"/>
    <n v="30"/>
    <n v="3"/>
    <s v="A|B|C"/>
    <n v="4"/>
    <n v="2"/>
    <n v="1"/>
    <n v="0"/>
    <n v="0"/>
    <n v="7"/>
  </r>
  <r>
    <d v="2026-03-25T00:00:00"/>
    <s v="20/03/2026"/>
    <x v="6"/>
    <x v="4"/>
    <x v="175"/>
    <x v="171"/>
    <x v="6"/>
    <x v="2"/>
    <s v="EKG"/>
    <x v="3"/>
    <x v="5"/>
    <n v="27449"/>
    <n v="101"/>
    <n v="10"/>
    <n v="699.13800000000003"/>
    <n v="59.6"/>
    <n v="20"/>
    <n v="4"/>
    <s v="A|B|C"/>
    <n v="4"/>
    <n v="3"/>
    <n v="4"/>
    <n v="0"/>
    <n v="0"/>
    <n v="11"/>
  </r>
  <r>
    <d v="2026-03-25T00:00:00"/>
    <s v="20/03/2026"/>
    <x v="6"/>
    <x v="8"/>
    <x v="176"/>
    <x v="172"/>
    <x v="6"/>
    <x v="2"/>
    <s v="EKG"/>
    <x v="4"/>
    <x v="5"/>
    <n v="27449"/>
    <n v="73"/>
    <n v="8"/>
    <n v="710.14800000000002"/>
    <n v="66.3"/>
    <n v="30"/>
    <n v="4"/>
    <s v="A|B|C"/>
    <n v="4"/>
    <n v="4"/>
    <n v="0"/>
    <n v="0"/>
    <n v="0"/>
    <n v="8"/>
  </r>
  <r>
    <d v="2026-03-25T00:00:00"/>
    <s v="20/03/2026"/>
    <x v="6"/>
    <x v="8"/>
    <x v="109"/>
    <x v="107"/>
    <x v="6"/>
    <x v="2"/>
    <s v="EKG"/>
    <x v="3"/>
    <x v="5"/>
    <n v="27449"/>
    <n v="93"/>
    <n v="20"/>
    <n v="3086.2669999999998"/>
    <n v="281.89999999999998"/>
    <n v="20"/>
    <n v="9"/>
    <s v="A|B|C"/>
    <n v="11"/>
    <n v="6"/>
    <n v="4"/>
    <n v="0"/>
    <n v="0"/>
    <n v="21"/>
  </r>
  <r>
    <d v="2026-03-25T00:00:00"/>
    <s v="20/03/2026"/>
    <x v="6"/>
    <x v="8"/>
    <x v="177"/>
    <x v="173"/>
    <x v="6"/>
    <x v="2"/>
    <s v="EKG"/>
    <x v="4"/>
    <x v="5"/>
    <n v="27449"/>
    <n v="32"/>
    <n v="12"/>
    <n v="866.81600000000003"/>
    <n v="68.400000000000006"/>
    <n v="60"/>
    <n v="3"/>
    <s v="A|B|C"/>
    <n v="3"/>
    <n v="3"/>
    <n v="0"/>
    <n v="0"/>
    <n v="0"/>
    <n v="6"/>
  </r>
  <r>
    <d v="2026-03-25T00:00:00"/>
    <s v="20/03/2026"/>
    <x v="6"/>
    <x v="8"/>
    <x v="178"/>
    <x v="174"/>
    <x v="6"/>
    <x v="2"/>
    <s v="EKG"/>
    <x v="4"/>
    <x v="5"/>
    <n v="27449"/>
    <n v="20"/>
    <n v="6"/>
    <n v="2410.69"/>
    <n v="0.6"/>
    <n v="100"/>
    <n v="3"/>
    <s v="A|B|C"/>
    <n v="4"/>
    <n v="2"/>
    <n v="1"/>
    <n v="0"/>
    <n v="0"/>
    <n v="7"/>
  </r>
  <r>
    <d v="2026-03-25T00:00:00"/>
    <s v="20/03/2026"/>
    <x v="6"/>
    <x v="3"/>
    <x v="112"/>
    <x v="110"/>
    <x v="6"/>
    <x v="2"/>
    <s v="EKG"/>
    <x v="3"/>
    <x v="5"/>
    <n v="27449"/>
    <n v="201"/>
    <n v="22"/>
    <n v="831.63099999999997"/>
    <n v="81.400000000000006"/>
    <n v="10"/>
    <n v="8"/>
    <s v="A|B|C"/>
    <n v="7"/>
    <n v="6"/>
    <n v="2"/>
    <n v="0"/>
    <n v="0"/>
    <n v="15"/>
  </r>
  <r>
    <d v="2026-03-25T00:00:00"/>
    <s v="20/03/2026"/>
    <x v="6"/>
    <x v="3"/>
    <x v="113"/>
    <x v="111"/>
    <x v="6"/>
    <x v="2"/>
    <s v="EKG"/>
    <x v="3"/>
    <x v="5"/>
    <n v="27449"/>
    <n v="147"/>
    <n v="22"/>
    <n v="485.06200000000001"/>
    <n v="84.4"/>
    <n v="7"/>
    <n v="7"/>
    <s v="A|B|C"/>
    <n v="5"/>
    <n v="7"/>
    <n v="0"/>
    <n v="0"/>
    <n v="0"/>
    <n v="12"/>
  </r>
  <r>
    <d v="2026-03-25T00:00:00"/>
    <s v="20/03/2026"/>
    <x v="6"/>
    <x v="4"/>
    <x v="179"/>
    <x v="168"/>
    <x v="6"/>
    <x v="2"/>
    <s v="EKG"/>
    <x v="4"/>
    <x v="5"/>
    <n v="27449"/>
    <n v="18"/>
    <n v="6"/>
    <n v="2439.261"/>
    <n v="21.2"/>
    <n v="120"/>
    <n v="3"/>
    <s v="A|B|C"/>
    <n v="4"/>
    <n v="2"/>
    <n v="3"/>
    <n v="0"/>
    <n v="0"/>
    <n v="9"/>
  </r>
  <r>
    <d v="2026-03-25T00:00:00"/>
    <s v="20/03/2026"/>
    <x v="6"/>
    <x v="6"/>
    <x v="180"/>
    <x v="175"/>
    <x v="6"/>
    <x v="2"/>
    <s v="EKG"/>
    <x v="4"/>
    <x v="5"/>
    <n v="27449"/>
    <n v="14"/>
    <n v="6"/>
    <n v="1876.546"/>
    <n v="130.80000000000001"/>
    <n v="120"/>
    <n v="3"/>
    <s v="A|B|C"/>
    <n v="3"/>
    <n v="2"/>
    <n v="2"/>
    <n v="0"/>
    <n v="0"/>
    <n v="7"/>
  </r>
  <r>
    <d v="2026-03-25T00:00:00"/>
    <s v="20/03/2026"/>
    <x v="6"/>
    <x v="10"/>
    <x v="181"/>
    <x v="176"/>
    <x v="6"/>
    <x v="2"/>
    <s v="EKG"/>
    <x v="1"/>
    <x v="5"/>
    <n v="27449"/>
    <n v="50"/>
    <n v="6"/>
    <n v="508.125"/>
    <n v="14.2"/>
    <n v="30"/>
    <n v="2"/>
    <s v="A|B|C"/>
    <n v="2"/>
    <n v="2"/>
    <n v="0"/>
    <n v="0"/>
    <n v="0"/>
    <n v="4"/>
  </r>
  <r>
    <d v="2026-03-25T00:00:00"/>
    <s v="20/03/2026"/>
    <x v="6"/>
    <x v="6"/>
    <x v="182"/>
    <x v="177"/>
    <x v="6"/>
    <x v="2"/>
    <s v="EKG"/>
    <x v="1"/>
    <x v="5"/>
    <n v="27449"/>
    <n v="29"/>
    <n v="32"/>
    <n v="836.96900000000005"/>
    <n v="3.278"/>
    <n v="30"/>
    <n v="3"/>
    <s v="A|B|C"/>
    <n v="3"/>
    <n v="3"/>
    <n v="0"/>
    <n v="0"/>
    <n v="0"/>
    <n v="6"/>
  </r>
  <r>
    <d v="2026-03-25T00:00:00"/>
    <s v="20/03/2026"/>
    <x v="6"/>
    <x v="9"/>
    <x v="183"/>
    <x v="178"/>
    <x v="6"/>
    <x v="2"/>
    <s v="EKG"/>
    <x v="4"/>
    <x v="5"/>
    <n v="27449"/>
    <n v="16"/>
    <n v="6"/>
    <n v="523.54399999999998"/>
    <n v="45.3"/>
    <n v="60"/>
    <n v="3"/>
    <s v="A|B|C"/>
    <n v="0"/>
    <n v="0"/>
    <n v="3"/>
    <n v="0"/>
    <n v="0"/>
    <n v="3"/>
  </r>
  <r>
    <d v="2026-03-25T00:00:00"/>
    <s v="20/03/2026"/>
    <x v="6"/>
    <x v="4"/>
    <x v="184"/>
    <x v="179"/>
    <x v="6"/>
    <x v="2"/>
    <s v="EKG"/>
    <x v="4"/>
    <x v="5"/>
    <n v="27449"/>
    <n v="22"/>
    <n v="10"/>
    <n v="795.52"/>
    <n v="215"/>
    <n v="60"/>
    <n v="5"/>
    <s v="A|B|C"/>
    <n v="5"/>
    <n v="3"/>
    <n v="2"/>
    <n v="0"/>
    <n v="0"/>
    <n v="10"/>
  </r>
  <r>
    <d v="2026-03-25T00:00:00"/>
    <s v="20/03/2026"/>
    <x v="6"/>
    <x v="0"/>
    <x v="96"/>
    <x v="95"/>
    <x v="6"/>
    <x v="2"/>
    <s v="EKG"/>
    <x v="5"/>
    <x v="0"/>
    <n v="27448"/>
    <n v="14"/>
    <n v="8"/>
    <n v="111.21599999999999"/>
    <n v="35.700000000000003"/>
    <n v="20"/>
    <n v="2"/>
    <s v="A|B|C"/>
    <n v="2"/>
    <n v="0"/>
    <n v="2"/>
    <n v="0"/>
    <n v="0"/>
    <n v="4"/>
  </r>
  <r>
    <d v="2026-03-25T00:00:00"/>
    <s v="20/03/2026"/>
    <x v="6"/>
    <x v="0"/>
    <x v="164"/>
    <x v="160"/>
    <x v="6"/>
    <x v="2"/>
    <s v="EKG"/>
    <x v="1"/>
    <x v="0"/>
    <n v="27448"/>
    <n v="39"/>
    <n v="4"/>
    <n v="371.82600000000002"/>
    <n v="55.6"/>
    <n v="30"/>
    <n v="2"/>
    <s v="A|B|C"/>
    <n v="2"/>
    <n v="1"/>
    <n v="1"/>
    <n v="0"/>
    <n v="0"/>
    <n v="4"/>
  </r>
  <r>
    <d v="2026-03-25T00:00:00"/>
    <s v="20/03/2026"/>
    <x v="6"/>
    <x v="0"/>
    <x v="165"/>
    <x v="161"/>
    <x v="6"/>
    <x v="2"/>
    <s v="EKG"/>
    <x v="1"/>
    <x v="0"/>
    <n v="27448"/>
    <n v="28"/>
    <n v="10"/>
    <n v="370.27300000000002"/>
    <n v="48.1"/>
    <n v="20"/>
    <n v="5"/>
    <s v="A|B|C"/>
    <n v="5"/>
    <n v="0"/>
    <n v="0"/>
    <n v="0"/>
    <n v="0"/>
    <n v="5"/>
  </r>
  <r>
    <d v="2026-03-25T00:00:00"/>
    <s v="20/03/2026"/>
    <x v="6"/>
    <x v="0"/>
    <x v="166"/>
    <x v="162"/>
    <x v="6"/>
    <x v="2"/>
    <s v="EKG"/>
    <x v="1"/>
    <x v="0"/>
    <n v="27448"/>
    <n v="28"/>
    <n v="10"/>
    <n v="318.45800000000003"/>
    <n v="43.6"/>
    <n v="21"/>
    <n v="5"/>
    <s v="A|B|C"/>
    <n v="5"/>
    <n v="0"/>
    <n v="0"/>
    <n v="0"/>
    <n v="0"/>
    <n v="5"/>
  </r>
  <r>
    <d v="2026-03-25T00:00:00"/>
    <s v="20/03/2026"/>
    <x v="6"/>
    <x v="0"/>
    <x v="167"/>
    <x v="163"/>
    <x v="6"/>
    <x v="2"/>
    <s v="EKG"/>
    <x v="4"/>
    <x v="0"/>
    <n v="27448"/>
    <n v="81"/>
    <n v="14"/>
    <n v="1152.9110000000001"/>
    <n v="155.30000000000001"/>
    <n v="25"/>
    <n v="7"/>
    <s v="A|B|C"/>
    <n v="5"/>
    <n v="6"/>
    <n v="1"/>
    <n v="0"/>
    <n v="0"/>
    <n v="12"/>
  </r>
  <r>
    <d v="2026-03-25T00:00:00"/>
    <s v="20/03/2026"/>
    <x v="6"/>
    <x v="0"/>
    <x v="168"/>
    <x v="164"/>
    <x v="6"/>
    <x v="2"/>
    <s v="EKG"/>
    <x v="0"/>
    <x v="0"/>
    <n v="27448"/>
    <n v="44"/>
    <n v="10"/>
    <n v="647.72400000000005"/>
    <n v="39.5"/>
    <n v="20"/>
    <n v="4"/>
    <s v="A|B|C"/>
    <n v="4"/>
    <n v="3"/>
    <n v="1"/>
    <n v="0"/>
    <n v="0"/>
    <n v="8"/>
  </r>
  <r>
    <d v="2026-03-25T00:00:00"/>
    <s v="20/03/2026"/>
    <x v="6"/>
    <x v="0"/>
    <x v="169"/>
    <x v="165"/>
    <x v="6"/>
    <x v="2"/>
    <s v="EKG"/>
    <x v="0"/>
    <x v="0"/>
    <n v="27448"/>
    <n v="15"/>
    <n v="12"/>
    <n v="433.14"/>
    <n v="42.9"/>
    <n v="30"/>
    <n v="3"/>
    <s v="A|B|C"/>
    <n v="3"/>
    <n v="2"/>
    <n v="1"/>
    <n v="0"/>
    <n v="0"/>
    <n v="6"/>
  </r>
  <r>
    <d v="2026-03-25T00:00:00"/>
    <s v="20/03/2026"/>
    <x v="6"/>
    <x v="0"/>
    <x v="46"/>
    <x v="45"/>
    <x v="6"/>
    <x v="2"/>
    <s v="EKG"/>
    <x v="0"/>
    <x v="0"/>
    <n v="27448"/>
    <n v="4"/>
    <n v="2"/>
    <n v="69.384"/>
    <n v="14.1"/>
    <n v="20"/>
    <n v="1"/>
    <s v="A|B|C"/>
    <n v="0"/>
    <n v="1"/>
    <n v="0"/>
    <n v="0"/>
    <n v="0"/>
    <n v="1"/>
  </r>
  <r>
    <d v="2026-03-25T00:00:00"/>
    <s v="20/03/2026"/>
    <x v="6"/>
    <x v="8"/>
    <x v="170"/>
    <x v="166"/>
    <x v="6"/>
    <x v="2"/>
    <s v="EKG"/>
    <x v="4"/>
    <x v="0"/>
    <n v="27448"/>
    <n v="92"/>
    <n v="24"/>
    <n v="13662.552"/>
    <n v="175"/>
    <n v="25"/>
    <n v="12"/>
    <s v="A|B|C"/>
    <n v="21"/>
    <n v="9"/>
    <n v="12"/>
    <n v="0"/>
    <n v="0"/>
    <n v="42"/>
  </r>
  <r>
    <d v="2026-03-26T00:00:00"/>
    <s v="20/03/2026"/>
    <x v="6"/>
    <x v="8"/>
    <x v="171"/>
    <x v="167"/>
    <x v="6"/>
    <x v="2"/>
    <s v="EKG"/>
    <x v="4"/>
    <x v="0"/>
    <n v="27448"/>
    <n v="74"/>
    <n v="22"/>
    <n v="9595.7569999999996"/>
    <n v="404.8"/>
    <n v="30"/>
    <n v="11"/>
    <s v="A|B|C"/>
    <n v="11"/>
    <n v="9"/>
    <n v="15"/>
    <n v="0"/>
    <n v="0"/>
    <n v="35"/>
  </r>
  <r>
    <d v="2026-03-26T00:00:00"/>
    <s v="20/03/2026"/>
    <x v="6"/>
    <x v="0"/>
    <x v="172"/>
    <x v="168"/>
    <x v="6"/>
    <x v="2"/>
    <s v="EKG"/>
    <x v="4"/>
    <x v="0"/>
    <n v="27448"/>
    <n v="18"/>
    <n v="8"/>
    <n v="3027.8429999999998"/>
    <n v="42"/>
    <n v="115"/>
    <n v="4"/>
    <s v="A|B|C"/>
    <n v="4"/>
    <n v="2"/>
    <n v="3"/>
    <n v="0"/>
    <n v="0"/>
    <n v="9"/>
  </r>
  <r>
    <d v="2026-03-26T00:00:00"/>
    <s v="20/03/2026"/>
    <x v="6"/>
    <x v="8"/>
    <x v="173"/>
    <x v="169"/>
    <x v="6"/>
    <x v="2"/>
    <s v="EKG"/>
    <x v="4"/>
    <x v="0"/>
    <n v="27448"/>
    <n v="40"/>
    <n v="12"/>
    <n v="5566"/>
    <n v="210"/>
    <n v="55"/>
    <n v="6"/>
    <s v="A|B|C"/>
    <n v="10"/>
    <n v="4"/>
    <n v="6"/>
    <n v="0"/>
    <n v="0"/>
    <n v="20"/>
  </r>
  <r>
    <d v="2026-03-26T00:00:00"/>
    <s v="20/03/2026"/>
    <x v="6"/>
    <x v="8"/>
    <x v="106"/>
    <x v="104"/>
    <x v="6"/>
    <x v="2"/>
    <s v="EKG"/>
    <x v="3"/>
    <x v="0"/>
    <n v="27448"/>
    <n v="152"/>
    <n v="24"/>
    <n v="2524.7730000000001"/>
    <n v="232.6"/>
    <n v="12"/>
    <n v="12"/>
    <s v="A|B|C"/>
    <n v="10"/>
    <n v="11"/>
    <n v="3"/>
    <n v="0"/>
    <n v="0"/>
    <n v="24"/>
  </r>
  <r>
    <d v="2026-03-26T00:00:00"/>
    <s v="20/03/2026"/>
    <x v="6"/>
    <x v="8"/>
    <x v="174"/>
    <x v="170"/>
    <x v="6"/>
    <x v="2"/>
    <s v="EKG"/>
    <x v="3"/>
    <x v="0"/>
    <n v="27448"/>
    <n v="71"/>
    <n v="16"/>
    <n v="1442.1990000000001"/>
    <n v="145.19999999999999"/>
    <n v="20"/>
    <n v="7"/>
    <s v="A|B|C"/>
    <n v="7"/>
    <n v="7"/>
    <n v="0"/>
    <n v="0"/>
    <n v="0"/>
    <n v="14"/>
  </r>
  <r>
    <d v="2026-03-26T00:00:00"/>
    <s v="20/03/2026"/>
    <x v="6"/>
    <x v="8"/>
    <x v="119"/>
    <x v="117"/>
    <x v="6"/>
    <x v="2"/>
    <s v="EKG"/>
    <x v="3"/>
    <x v="0"/>
    <n v="27448"/>
    <n v="121"/>
    <n v="26"/>
    <n v="1741.4449999999999"/>
    <n v="215.4"/>
    <n v="15"/>
    <n v="9"/>
    <s v="A|B|C"/>
    <n v="8"/>
    <n v="8"/>
    <n v="3"/>
    <n v="0"/>
    <n v="0"/>
    <n v="19"/>
  </r>
  <r>
    <d v="2026-03-26T00:00:00"/>
    <s v="20/03/2026"/>
    <x v="6"/>
    <x v="8"/>
    <x v="107"/>
    <x v="105"/>
    <x v="6"/>
    <x v="2"/>
    <s v="EKG"/>
    <x v="3"/>
    <x v="0"/>
    <n v="27448"/>
    <n v="54"/>
    <n v="8"/>
    <n v="812.452"/>
    <n v="76.400000000000006"/>
    <n v="30"/>
    <n v="4"/>
    <s v="A|B|C"/>
    <n v="4"/>
    <n v="4"/>
    <n v="0"/>
    <n v="0"/>
    <n v="0"/>
    <n v="8"/>
  </r>
  <r>
    <d v="2026-03-26T00:00:00"/>
    <s v="20/03/2026"/>
    <x v="6"/>
    <x v="8"/>
    <x v="108"/>
    <x v="106"/>
    <x v="6"/>
    <x v="2"/>
    <s v="EKG"/>
    <x v="3"/>
    <x v="0"/>
    <n v="27448"/>
    <n v="56"/>
    <n v="6"/>
    <n v="611.31600000000003"/>
    <n v="57.3"/>
    <n v="30"/>
    <n v="3"/>
    <s v="A|B|C"/>
    <n v="4"/>
    <n v="2"/>
    <n v="1"/>
    <n v="0"/>
    <n v="0"/>
    <n v="7"/>
  </r>
  <r>
    <d v="2026-03-26T00:00:00"/>
    <s v="20/03/2026"/>
    <x v="6"/>
    <x v="4"/>
    <x v="175"/>
    <x v="171"/>
    <x v="6"/>
    <x v="2"/>
    <s v="EKG"/>
    <x v="3"/>
    <x v="0"/>
    <n v="27448"/>
    <n v="101"/>
    <n v="10"/>
    <n v="699.13800000000003"/>
    <n v="59.6"/>
    <n v="20"/>
    <n v="4"/>
    <s v="A|B|C"/>
    <n v="4"/>
    <n v="3"/>
    <n v="4"/>
    <n v="0"/>
    <n v="0"/>
    <n v="11"/>
  </r>
  <r>
    <d v="2026-03-26T00:00:00"/>
    <s v="20/03/2026"/>
    <x v="6"/>
    <x v="8"/>
    <x v="176"/>
    <x v="172"/>
    <x v="6"/>
    <x v="2"/>
    <s v="EKG"/>
    <x v="4"/>
    <x v="0"/>
    <n v="27448"/>
    <n v="73"/>
    <n v="8"/>
    <n v="710.14800000000002"/>
    <n v="66.3"/>
    <n v="30"/>
    <n v="4"/>
    <s v="A|B|C"/>
    <n v="5"/>
    <n v="3"/>
    <n v="1"/>
    <n v="0"/>
    <n v="0"/>
    <n v="9"/>
  </r>
  <r>
    <d v="2026-03-26T00:00:00"/>
    <s v="20/03/2026"/>
    <x v="6"/>
    <x v="8"/>
    <x v="109"/>
    <x v="107"/>
    <x v="6"/>
    <x v="2"/>
    <s v="EKG"/>
    <x v="3"/>
    <x v="0"/>
    <n v="27448"/>
    <n v="104"/>
    <n v="20"/>
    <n v="3448.9079999999999"/>
    <n v="281"/>
    <n v="20"/>
    <n v="10"/>
    <s v="A|B|C"/>
    <n v="12"/>
    <n v="3"/>
    <n v="8"/>
    <n v="0"/>
    <n v="0"/>
    <n v="23"/>
  </r>
  <r>
    <d v="2026-03-26T00:00:00"/>
    <s v="20/03/2026"/>
    <x v="6"/>
    <x v="8"/>
    <x v="177"/>
    <x v="173"/>
    <x v="6"/>
    <x v="2"/>
    <s v="EKG"/>
    <x v="4"/>
    <x v="0"/>
    <n v="27448"/>
    <n v="32"/>
    <n v="12"/>
    <n v="866.81600000000003"/>
    <n v="68.400000000000006"/>
    <n v="60"/>
    <n v="3"/>
    <s v="A|B|C"/>
    <n v="3"/>
    <n v="3"/>
    <n v="0"/>
    <n v="0"/>
    <n v="0"/>
    <n v="6"/>
  </r>
  <r>
    <d v="2026-03-26T00:00:00"/>
    <s v="20/03/2026"/>
    <x v="6"/>
    <x v="8"/>
    <x v="178"/>
    <x v="174"/>
    <x v="6"/>
    <x v="2"/>
    <s v="EKG"/>
    <x v="4"/>
    <x v="0"/>
    <n v="27448"/>
    <n v="20"/>
    <n v="6"/>
    <n v="2410.69"/>
    <n v="0.6"/>
    <n v="100"/>
    <n v="3"/>
    <s v="A|B|C"/>
    <n v="4"/>
    <n v="2"/>
    <n v="1"/>
    <n v="0"/>
    <n v="0"/>
    <n v="7"/>
  </r>
  <r>
    <d v="2026-03-26T00:00:00"/>
    <s v="20/03/2026"/>
    <x v="6"/>
    <x v="3"/>
    <x v="112"/>
    <x v="110"/>
    <x v="6"/>
    <x v="2"/>
    <s v="EKG"/>
    <x v="3"/>
    <x v="0"/>
    <n v="27448"/>
    <n v="126"/>
    <n v="16"/>
    <n v="521.15499999999997"/>
    <n v="60"/>
    <n v="10"/>
    <n v="6"/>
    <s v="A|B|C"/>
    <n v="5"/>
    <n v="5"/>
    <n v="2"/>
    <n v="0"/>
    <n v="0"/>
    <n v="12"/>
  </r>
  <r>
    <d v="2026-03-26T00:00:00"/>
    <s v="20/03/2026"/>
    <x v="6"/>
    <x v="3"/>
    <x v="113"/>
    <x v="111"/>
    <x v="6"/>
    <x v="2"/>
    <s v="EKG"/>
    <x v="3"/>
    <x v="0"/>
    <n v="27448"/>
    <n v="144"/>
    <n v="24"/>
    <n v="475.63200000000001"/>
    <n v="93"/>
    <n v="6"/>
    <n v="7"/>
    <s v="A|B|C"/>
    <n v="4"/>
    <n v="6"/>
    <n v="0"/>
    <n v="0"/>
    <n v="0"/>
    <n v="10"/>
  </r>
  <r>
    <d v="2026-03-26T00:00:00"/>
    <s v="20/03/2026"/>
    <x v="6"/>
    <x v="4"/>
    <x v="179"/>
    <x v="168"/>
    <x v="6"/>
    <x v="2"/>
    <s v="EKG"/>
    <x v="4"/>
    <x v="0"/>
    <n v="27448"/>
    <n v="18"/>
    <n v="6"/>
    <n v="2439.261"/>
    <n v="21.2"/>
    <n v="115"/>
    <n v="3"/>
    <s v="A|B|C"/>
    <n v="4"/>
    <n v="2"/>
    <n v="3"/>
    <n v="0"/>
    <n v="0"/>
    <n v="9"/>
  </r>
  <r>
    <d v="2026-03-26T00:00:00"/>
    <s v="20/03/2026"/>
    <x v="6"/>
    <x v="6"/>
    <x v="180"/>
    <x v="175"/>
    <x v="6"/>
    <x v="2"/>
    <s v="EKG"/>
    <x v="4"/>
    <x v="0"/>
    <n v="27448"/>
    <n v="14"/>
    <n v="6"/>
    <n v="1876.546"/>
    <n v="130.80000000000001"/>
    <n v="120"/>
    <n v="3"/>
    <s v="A|B|C"/>
    <n v="3"/>
    <n v="2"/>
    <n v="2"/>
    <n v="0"/>
    <n v="0"/>
    <n v="7"/>
  </r>
  <r>
    <d v="2026-03-26T00:00:00"/>
    <s v="20/03/2026"/>
    <x v="6"/>
    <x v="10"/>
    <x v="181"/>
    <x v="176"/>
    <x v="6"/>
    <x v="2"/>
    <s v="EKG"/>
    <x v="1"/>
    <x v="0"/>
    <n v="27448"/>
    <n v="50"/>
    <n v="6"/>
    <n v="508.125"/>
    <n v="14.2"/>
    <n v="30"/>
    <n v="2"/>
    <s v="A|B|C"/>
    <n v="2"/>
    <n v="2"/>
    <n v="0"/>
    <n v="0"/>
    <n v="0"/>
    <n v="4"/>
  </r>
  <r>
    <d v="2026-03-26T00:00:00"/>
    <s v="20/03/2026"/>
    <x v="6"/>
    <x v="6"/>
    <x v="182"/>
    <x v="177"/>
    <x v="6"/>
    <x v="2"/>
    <s v="EKG"/>
    <x v="1"/>
    <x v="0"/>
    <n v="27448"/>
    <n v="29"/>
    <n v="32"/>
    <n v="836.96900000000005"/>
    <n v="3.278"/>
    <n v="30"/>
    <n v="3"/>
    <s v="A|B|C"/>
    <n v="3"/>
    <n v="3"/>
    <n v="0"/>
    <n v="0"/>
    <n v="0"/>
    <n v="6"/>
  </r>
  <r>
    <d v="2026-03-26T00:00:00"/>
    <s v="20/03/2026"/>
    <x v="6"/>
    <x v="9"/>
    <x v="183"/>
    <x v="178"/>
    <x v="6"/>
    <x v="2"/>
    <s v="EKG"/>
    <x v="4"/>
    <x v="0"/>
    <n v="27448"/>
    <n v="16"/>
    <n v="6"/>
    <n v="523.54399999999998"/>
    <n v="45.3"/>
    <n v="60"/>
    <n v="3"/>
    <s v="A|B|C"/>
    <n v="0"/>
    <n v="0"/>
    <n v="3"/>
    <n v="0"/>
    <n v="0"/>
    <n v="3"/>
  </r>
  <r>
    <d v="2026-03-26T00:00:00"/>
    <s v="20/03/2026"/>
    <x v="6"/>
    <x v="4"/>
    <x v="184"/>
    <x v="179"/>
    <x v="6"/>
    <x v="2"/>
    <s v="EKG"/>
    <x v="4"/>
    <x v="0"/>
    <n v="27448"/>
    <n v="22"/>
    <n v="10"/>
    <n v="795.52"/>
    <n v="215"/>
    <n v="60"/>
    <n v="5"/>
    <s v="A|B|C"/>
    <n v="5"/>
    <n v="3"/>
    <n v="2"/>
    <n v="0"/>
    <n v="0"/>
    <n v="10"/>
  </r>
  <r>
    <d v="2026-03-26T00:00:00"/>
    <s v="20/03/2026"/>
    <x v="6"/>
    <x v="4"/>
    <x v="185"/>
    <x v="180"/>
    <x v="6"/>
    <x v="2"/>
    <s v="EKG"/>
    <x v="1"/>
    <x v="0"/>
    <n v="27448"/>
    <n v="35"/>
    <n v="4"/>
    <n v="287.226"/>
    <n v="20.9"/>
    <n v="30"/>
    <n v="2"/>
    <s v="A|B|C"/>
    <n v="0"/>
    <n v="2"/>
    <n v="0"/>
    <n v="0"/>
    <n v="0"/>
    <n v="2"/>
  </r>
  <r>
    <d v="2026-03-26T00:00:00"/>
    <s v="20/03/2026"/>
    <x v="6"/>
    <x v="0"/>
    <x v="96"/>
    <x v="95"/>
    <x v="6"/>
    <x v="2"/>
    <s v="EKG"/>
    <x v="5"/>
    <x v="1"/>
    <n v="27447"/>
    <n v="14"/>
    <n v="6"/>
    <n v="111.21599999999999"/>
    <n v="35.299999999999997"/>
    <n v="41"/>
    <n v="2"/>
    <s v="A|B|C"/>
    <n v="1"/>
    <n v="0"/>
    <n v="2"/>
    <n v="0"/>
    <n v="0"/>
    <n v="3"/>
  </r>
  <r>
    <d v="2026-03-26T00:00:00"/>
    <s v="20/03/2026"/>
    <x v="6"/>
    <x v="0"/>
    <x v="164"/>
    <x v="160"/>
    <x v="6"/>
    <x v="2"/>
    <s v="EKG"/>
    <x v="1"/>
    <x v="1"/>
    <n v="27447"/>
    <n v="28"/>
    <n v="6"/>
    <n v="266.952"/>
    <n v="60.3"/>
    <n v="25"/>
    <n v="2"/>
    <s v="A|B|C"/>
    <n v="2"/>
    <n v="1"/>
    <n v="1"/>
    <n v="0"/>
    <n v="0"/>
    <n v="4"/>
  </r>
  <r>
    <d v="2026-03-26T00:00:00"/>
    <s v="20/03/2026"/>
    <x v="6"/>
    <x v="0"/>
    <x v="167"/>
    <x v="163"/>
    <x v="6"/>
    <x v="2"/>
    <s v="EKG"/>
    <x v="4"/>
    <x v="1"/>
    <n v="27447"/>
    <n v="73"/>
    <n v="10"/>
    <n v="1039.0429999999999"/>
    <n v="110.8"/>
    <n v="25"/>
    <n v="5"/>
    <s v="A|B|C"/>
    <n v="6"/>
    <n v="3"/>
    <n v="2"/>
    <n v="0"/>
    <n v="0"/>
    <n v="11"/>
  </r>
  <r>
    <d v="2026-03-26T00:00:00"/>
    <s v="20/03/2026"/>
    <x v="6"/>
    <x v="0"/>
    <x v="168"/>
    <x v="164"/>
    <x v="6"/>
    <x v="2"/>
    <s v="EKG"/>
    <x v="0"/>
    <x v="1"/>
    <n v="27447"/>
    <n v="37"/>
    <n v="6"/>
    <n v="544.67700000000002"/>
    <n v="23.7"/>
    <n v="30"/>
    <n v="3"/>
    <s v="A|B|C"/>
    <n v="3"/>
    <n v="2"/>
    <n v="1"/>
    <n v="0"/>
    <n v="0"/>
    <n v="6"/>
  </r>
  <r>
    <d v="2026-03-26T00:00:00"/>
    <s v="20/03/2026"/>
    <x v="6"/>
    <x v="0"/>
    <x v="169"/>
    <x v="165"/>
    <x v="6"/>
    <x v="2"/>
    <s v="EKG"/>
    <x v="0"/>
    <x v="1"/>
    <n v="27447"/>
    <n v="15"/>
    <n v="12"/>
    <n v="433.14"/>
    <n v="42.9"/>
    <n v="30"/>
    <n v="3"/>
    <s v="A|B|C"/>
    <n v="3"/>
    <n v="2"/>
    <n v="1"/>
    <n v="0"/>
    <n v="0"/>
    <n v="6"/>
  </r>
  <r>
    <d v="2026-03-26T00:00:00"/>
    <s v="20/03/2026"/>
    <x v="6"/>
    <x v="8"/>
    <x v="170"/>
    <x v="166"/>
    <x v="6"/>
    <x v="2"/>
    <s v="EKG"/>
    <x v="4"/>
    <x v="1"/>
    <n v="27447"/>
    <n v="108"/>
    <n v="30"/>
    <n v="16038.647999999999"/>
    <n v="280"/>
    <n v="20"/>
    <n v="15"/>
    <s v="A|B|C"/>
    <n v="23"/>
    <n v="12"/>
    <n v="16"/>
    <n v="0"/>
    <n v="0"/>
    <n v="51"/>
  </r>
  <r>
    <d v="2026-03-26T00:00:00"/>
    <s v="20/03/2026"/>
    <x v="6"/>
    <x v="8"/>
    <x v="171"/>
    <x v="167"/>
    <x v="6"/>
    <x v="2"/>
    <s v="EKG"/>
    <x v="4"/>
    <x v="1"/>
    <n v="27447"/>
    <n v="82"/>
    <n v="26"/>
    <n v="10790.758"/>
    <n v="404.84"/>
    <n v="30"/>
    <n v="11"/>
    <s v="A|B|C"/>
    <n v="15"/>
    <n v="10"/>
    <n v="13"/>
    <n v="0"/>
    <n v="0"/>
    <n v="38"/>
  </r>
  <r>
    <d v="2026-03-26T00:00:00"/>
    <s v="20/03/2026"/>
    <x v="6"/>
    <x v="0"/>
    <x v="172"/>
    <x v="168"/>
    <x v="6"/>
    <x v="2"/>
    <s v="EKG"/>
    <x v="4"/>
    <x v="1"/>
    <n v="27447"/>
    <n v="18"/>
    <n v="8"/>
    <n v="3027.8429999999998"/>
    <n v="42"/>
    <n v="115"/>
    <n v="4"/>
    <s v="A|B|C"/>
    <n v="4"/>
    <n v="2"/>
    <n v="3"/>
    <n v="0"/>
    <n v="0"/>
    <n v="9"/>
  </r>
  <r>
    <d v="2026-03-26T00:00:00"/>
    <s v="20/03/2026"/>
    <x v="6"/>
    <x v="8"/>
    <x v="173"/>
    <x v="169"/>
    <x v="6"/>
    <x v="2"/>
    <s v="EKG"/>
    <x v="4"/>
    <x v="1"/>
    <n v="27447"/>
    <n v="48"/>
    <n v="16"/>
    <n v="6679.2"/>
    <n v="280"/>
    <n v="40"/>
    <n v="8"/>
    <s v="A|B|C"/>
    <n v="8"/>
    <n v="8"/>
    <n v="8"/>
    <n v="0"/>
    <n v="0"/>
    <n v="24"/>
  </r>
  <r>
    <d v="2026-03-26T00:00:00"/>
    <s v="20/03/2026"/>
    <x v="6"/>
    <x v="8"/>
    <x v="106"/>
    <x v="104"/>
    <x v="6"/>
    <x v="2"/>
    <s v="EKG"/>
    <x v="3"/>
    <x v="1"/>
    <n v="27447"/>
    <n v="147"/>
    <n v="26"/>
    <n v="2447.1779999999999"/>
    <n v="254.2"/>
    <n v="12"/>
    <n v="13"/>
    <s v="A|B|C"/>
    <n v="8"/>
    <n v="10"/>
    <n v="3"/>
    <n v="0"/>
    <n v="0"/>
    <n v="21"/>
  </r>
  <r>
    <d v="2026-03-26T00:00:00"/>
    <s v="20/03/2026"/>
    <x v="6"/>
    <x v="8"/>
    <x v="174"/>
    <x v="170"/>
    <x v="6"/>
    <x v="2"/>
    <s v="EKG"/>
    <x v="3"/>
    <x v="1"/>
    <n v="27447"/>
    <n v="64"/>
    <n v="14"/>
    <n v="1300.7329999999999"/>
    <n v="133.69999999999999"/>
    <n v="20"/>
    <n v="7"/>
    <s v="A|B|C"/>
    <n v="6"/>
    <n v="5"/>
    <n v="2"/>
    <n v="0"/>
    <n v="0"/>
    <n v="13"/>
  </r>
  <r>
    <d v="2026-03-26T00:00:00"/>
    <s v="20/03/2026"/>
    <x v="6"/>
    <x v="8"/>
    <x v="119"/>
    <x v="117"/>
    <x v="6"/>
    <x v="2"/>
    <s v="EKG"/>
    <x v="3"/>
    <x v="1"/>
    <n v="27447"/>
    <n v="106"/>
    <n v="16"/>
    <n v="1526.1420000000001"/>
    <n v="152.1"/>
    <n v="15"/>
    <n v="8"/>
    <s v="A|B|C"/>
    <n v="7"/>
    <n v="5"/>
    <n v="3"/>
    <n v="0"/>
    <n v="0"/>
    <n v="15"/>
  </r>
  <r>
    <d v="2026-03-20T00:00:00"/>
    <s v="20/03/2026"/>
    <x v="6"/>
    <x v="8"/>
    <x v="107"/>
    <x v="105"/>
    <x v="6"/>
    <x v="2"/>
    <s v="EKG"/>
    <x v="3"/>
    <x v="1"/>
    <n v="27447"/>
    <n v="54"/>
    <n v="8"/>
    <n v="812.452"/>
    <n v="76.400000000000006"/>
    <n v="30"/>
    <n v="4"/>
    <s v="A|B|C"/>
    <n v="4"/>
    <n v="4"/>
    <n v="0"/>
    <n v="0"/>
    <n v="0"/>
    <n v="8"/>
  </r>
  <r>
    <d v="2026-03-20T00:00:00"/>
    <s v="20/03/2026"/>
    <x v="6"/>
    <x v="8"/>
    <x v="108"/>
    <x v="106"/>
    <x v="6"/>
    <x v="2"/>
    <s v="EKG"/>
    <x v="3"/>
    <x v="1"/>
    <n v="27447"/>
    <n v="51"/>
    <n v="6"/>
    <n v="556.49199999999996"/>
    <n v="42.6"/>
    <n v="30"/>
    <n v="3"/>
    <s v="A|B|C"/>
    <n v="2"/>
    <n v="3"/>
    <n v="0"/>
    <n v="0"/>
    <n v="0"/>
    <n v="5"/>
  </r>
  <r>
    <d v="2026-03-20T00:00:00"/>
    <s v="20/03/2026"/>
    <x v="6"/>
    <x v="4"/>
    <x v="175"/>
    <x v="171"/>
    <x v="6"/>
    <x v="2"/>
    <s v="EKG"/>
    <x v="3"/>
    <x v="1"/>
    <n v="27447"/>
    <n v="101"/>
    <n v="10"/>
    <n v="699.13800000000003"/>
    <n v="59.6"/>
    <n v="20"/>
    <n v="4"/>
    <s v="A|B|C"/>
    <n v="4"/>
    <n v="3"/>
    <n v="4"/>
    <n v="0"/>
    <n v="0"/>
    <n v="11"/>
  </r>
  <r>
    <d v="2026-03-20T00:00:00"/>
    <s v="20/03/2026"/>
    <x v="6"/>
    <x v="8"/>
    <x v="176"/>
    <x v="172"/>
    <x v="6"/>
    <x v="2"/>
    <s v="EKG"/>
    <x v="4"/>
    <x v="1"/>
    <n v="27447"/>
    <n v="73"/>
    <n v="8"/>
    <n v="710.14800000000002"/>
    <n v="66.3"/>
    <n v="30"/>
    <n v="4"/>
    <s v="A|B|C"/>
    <n v="5"/>
    <n v="3"/>
    <n v="1"/>
    <n v="0"/>
    <n v="0"/>
    <n v="9"/>
  </r>
  <r>
    <d v="2026-03-20T00:00:00"/>
    <s v="20/03/2026"/>
    <x v="6"/>
    <x v="8"/>
    <x v="109"/>
    <x v="107"/>
    <x v="6"/>
    <x v="2"/>
    <s v="EKG"/>
    <x v="3"/>
    <x v="1"/>
    <n v="27447"/>
    <n v="74"/>
    <n v="18"/>
    <n v="2451.509"/>
    <n v="246.4"/>
    <n v="20"/>
    <n v="9"/>
    <s v="A|B|C"/>
    <n v="7"/>
    <n v="6"/>
    <n v="4"/>
    <n v="0"/>
    <n v="0"/>
    <n v="17"/>
  </r>
  <r>
    <d v="2026-03-20T00:00:00"/>
    <s v="20/03/2026"/>
    <x v="6"/>
    <x v="8"/>
    <x v="177"/>
    <x v="173"/>
    <x v="6"/>
    <x v="2"/>
    <s v="EKG"/>
    <x v="4"/>
    <x v="1"/>
    <n v="27447"/>
    <n v="32"/>
    <n v="12"/>
    <n v="866.81600000000003"/>
    <n v="68.400000000000006"/>
    <n v="60"/>
    <n v="3"/>
    <s v="A|B|C"/>
    <n v="3"/>
    <n v="3"/>
    <n v="0"/>
    <n v="0"/>
    <n v="0"/>
    <n v="6"/>
  </r>
  <r>
    <d v="2026-03-20T00:00:00"/>
    <s v="20/03/2026"/>
    <x v="6"/>
    <x v="8"/>
    <x v="178"/>
    <x v="174"/>
    <x v="6"/>
    <x v="2"/>
    <s v="EKG"/>
    <x v="4"/>
    <x v="1"/>
    <n v="27447"/>
    <n v="20"/>
    <n v="6"/>
    <n v="2410.69"/>
    <n v="0.6"/>
    <n v="100"/>
    <n v="3"/>
    <s v="A|B|C"/>
    <n v="4"/>
    <n v="1"/>
    <n v="2"/>
    <n v="0"/>
    <n v="0"/>
    <n v="7"/>
  </r>
  <r>
    <d v="2026-03-20T00:00:00"/>
    <s v="20/03/2026"/>
    <x v="6"/>
    <x v="3"/>
    <x v="112"/>
    <x v="110"/>
    <x v="6"/>
    <x v="2"/>
    <s v="EKG"/>
    <x v="3"/>
    <x v="1"/>
    <n v="27447"/>
    <n v="196"/>
    <n v="18"/>
    <n v="810.68499999999995"/>
    <n v="66.900000000000006"/>
    <n v="8"/>
    <n v="7"/>
    <s v="A|B|C"/>
    <n v="5"/>
    <n v="7"/>
    <n v="0"/>
    <n v="0"/>
    <n v="0"/>
    <n v="12"/>
  </r>
  <r>
    <d v="2026-03-20T00:00:00"/>
    <s v="20/03/2026"/>
    <x v="6"/>
    <x v="4"/>
    <x v="179"/>
    <x v="168"/>
    <x v="6"/>
    <x v="2"/>
    <s v="EKG"/>
    <x v="4"/>
    <x v="1"/>
    <n v="27447"/>
    <n v="18"/>
    <n v="6"/>
    <n v="2439.261"/>
    <n v="21.2"/>
    <n v="120"/>
    <n v="3"/>
    <s v="A|B|C"/>
    <n v="4"/>
    <n v="2"/>
    <n v="3"/>
    <n v="0"/>
    <n v="0"/>
    <n v="9"/>
  </r>
  <r>
    <d v="2026-03-20T00:00:00"/>
    <s v="20/03/2026"/>
    <x v="6"/>
    <x v="6"/>
    <x v="180"/>
    <x v="175"/>
    <x v="6"/>
    <x v="2"/>
    <s v="EKG"/>
    <x v="4"/>
    <x v="1"/>
    <n v="27447"/>
    <n v="14"/>
    <n v="6"/>
    <n v="1876.546"/>
    <n v="130.80000000000001"/>
    <n v="120"/>
    <n v="3"/>
    <s v="A|B|C"/>
    <n v="3"/>
    <n v="2"/>
    <n v="2"/>
    <n v="0"/>
    <n v="0"/>
    <n v="7"/>
  </r>
  <r>
    <d v="2026-03-20T00:00:00"/>
    <s v="20/03/2026"/>
    <x v="6"/>
    <x v="10"/>
    <x v="181"/>
    <x v="176"/>
    <x v="6"/>
    <x v="2"/>
    <s v="EKG"/>
    <x v="1"/>
    <x v="1"/>
    <n v="27447"/>
    <n v="50"/>
    <n v="6"/>
    <n v="508.125"/>
    <n v="14.2"/>
    <n v="30"/>
    <n v="2"/>
    <s v="A|B|C"/>
    <n v="2"/>
    <n v="2"/>
    <n v="0"/>
    <n v="0"/>
    <n v="0"/>
    <n v="4"/>
  </r>
  <r>
    <d v="2026-03-20T00:00:00"/>
    <s v="20/03/2026"/>
    <x v="6"/>
    <x v="6"/>
    <x v="182"/>
    <x v="177"/>
    <x v="6"/>
    <x v="2"/>
    <s v="EKG"/>
    <x v="1"/>
    <x v="1"/>
    <n v="27447"/>
    <n v="29"/>
    <n v="32"/>
    <n v="836.96900000000005"/>
    <n v="3.278"/>
    <n v="30"/>
    <n v="3"/>
    <s v="A|B|C"/>
    <n v="3"/>
    <n v="3"/>
    <n v="0"/>
    <n v="0"/>
    <n v="0"/>
    <n v="6"/>
  </r>
  <r>
    <d v="2026-03-20T00:00:00"/>
    <s v="20/03/2026"/>
    <x v="6"/>
    <x v="9"/>
    <x v="183"/>
    <x v="178"/>
    <x v="6"/>
    <x v="2"/>
    <s v="EKG"/>
    <x v="4"/>
    <x v="1"/>
    <n v="27447"/>
    <n v="16"/>
    <n v="6"/>
    <n v="523.54399999999998"/>
    <n v="45.3"/>
    <n v="60"/>
    <n v="3"/>
    <s v="A|B|C"/>
    <n v="0"/>
    <n v="0"/>
    <n v="3"/>
    <n v="0"/>
    <n v="0"/>
    <n v="3"/>
  </r>
  <r>
    <d v="2026-03-20T00:00:00"/>
    <s v="20/03/2026"/>
    <x v="6"/>
    <x v="4"/>
    <x v="184"/>
    <x v="179"/>
    <x v="6"/>
    <x v="2"/>
    <s v="EKG"/>
    <x v="4"/>
    <x v="1"/>
    <n v="27447"/>
    <n v="22"/>
    <n v="10"/>
    <n v="795.52"/>
    <n v="215"/>
    <n v="60"/>
    <n v="5"/>
    <s v="A|B|C"/>
    <n v="5"/>
    <n v="3"/>
    <n v="2"/>
    <n v="0"/>
    <n v="0"/>
    <n v="10"/>
  </r>
  <r>
    <d v="2026-03-20T00:00:00"/>
    <s v="20/03/2026"/>
    <x v="6"/>
    <x v="4"/>
    <x v="185"/>
    <x v="180"/>
    <x v="6"/>
    <x v="2"/>
    <s v="EKG"/>
    <x v="1"/>
    <x v="1"/>
    <n v="27447"/>
    <n v="35"/>
    <n v="4"/>
    <n v="287.226"/>
    <n v="20.9"/>
    <n v="30"/>
    <n v="2"/>
    <s v="A|B|C"/>
    <n v="0"/>
    <n v="2"/>
    <n v="0"/>
    <n v="0"/>
    <n v="0"/>
    <n v="2"/>
  </r>
  <r>
    <d v="2026-03-20T00:00:00"/>
    <s v="20/03/2026"/>
    <x v="6"/>
    <x v="0"/>
    <x v="164"/>
    <x v="160"/>
    <x v="6"/>
    <x v="2"/>
    <s v="EKG"/>
    <x v="1"/>
    <x v="2"/>
    <n v="27450"/>
    <n v="19"/>
    <n v="2"/>
    <n v="181.14599999999999"/>
    <n v="27.8"/>
    <n v="60"/>
    <n v="1"/>
    <s v="A|B|C"/>
    <n v="1"/>
    <n v="1"/>
    <n v="0"/>
    <n v="0"/>
    <n v="0"/>
    <n v="2"/>
  </r>
  <r>
    <d v="2026-03-20T00:00:00"/>
    <s v="20/03/2026"/>
    <x v="6"/>
    <x v="0"/>
    <x v="167"/>
    <x v="163"/>
    <x v="6"/>
    <x v="2"/>
    <s v="EKG"/>
    <x v="4"/>
    <x v="2"/>
    <n v="27450"/>
    <n v="88"/>
    <n v="12"/>
    <n v="1252.5429999999999"/>
    <n v="134.9"/>
    <n v="25"/>
    <n v="6"/>
    <s v="A|B|C"/>
    <n v="5"/>
    <n v="5"/>
    <n v="2"/>
    <n v="0"/>
    <n v="0"/>
    <n v="12"/>
  </r>
  <r>
    <d v="2026-03-20T00:00:00"/>
    <s v="20/03/2026"/>
    <x v="6"/>
    <x v="0"/>
    <x v="168"/>
    <x v="164"/>
    <x v="6"/>
    <x v="2"/>
    <s v="EKG"/>
    <x v="0"/>
    <x v="2"/>
    <n v="27450"/>
    <n v="34"/>
    <n v="4"/>
    <n v="500.51400000000001"/>
    <n v="15.8"/>
    <n v="30"/>
    <n v="2"/>
    <s v="A|B|C"/>
    <n v="2"/>
    <n v="2"/>
    <n v="0"/>
    <n v="0"/>
    <n v="0"/>
    <n v="4"/>
  </r>
  <r>
    <d v="2026-03-20T00:00:00"/>
    <s v="20/03/2026"/>
    <x v="6"/>
    <x v="8"/>
    <x v="170"/>
    <x v="166"/>
    <x v="6"/>
    <x v="2"/>
    <s v="EKG"/>
    <x v="4"/>
    <x v="2"/>
    <n v="27450"/>
    <n v="108"/>
    <n v="30"/>
    <n v="16038.647999999999"/>
    <n v="280"/>
    <n v="20"/>
    <n v="15"/>
    <s v="A|B|C"/>
    <n v="23"/>
    <n v="12"/>
    <n v="16"/>
    <n v="0"/>
    <n v="0"/>
    <n v="51"/>
  </r>
  <r>
    <d v="2026-03-20T00:00:00"/>
    <s v="20/03/2026"/>
    <x v="6"/>
    <x v="8"/>
    <x v="171"/>
    <x v="167"/>
    <x v="6"/>
    <x v="2"/>
    <s v="EKG"/>
    <x v="4"/>
    <x v="2"/>
    <n v="27450"/>
    <n v="82"/>
    <n v="26"/>
    <n v="10790.758"/>
    <n v="404.84"/>
    <n v="30"/>
    <n v="11"/>
    <s v="A|B|C"/>
    <n v="16"/>
    <n v="9"/>
    <n v="12"/>
    <n v="0"/>
    <n v="0"/>
    <n v="37"/>
  </r>
  <r>
    <d v="2026-03-20T00:00:00"/>
    <s v="20/03/2026"/>
    <x v="6"/>
    <x v="0"/>
    <x v="172"/>
    <x v="168"/>
    <x v="6"/>
    <x v="2"/>
    <s v="EKG"/>
    <x v="4"/>
    <x v="2"/>
    <n v="27450"/>
    <n v="32"/>
    <n v="12"/>
    <n v="5382.8320000000003"/>
    <n v="83.6"/>
    <n v="60"/>
    <n v="6"/>
    <s v="A|B|C"/>
    <n v="6"/>
    <n v="6"/>
    <n v="4"/>
    <n v="0"/>
    <n v="0"/>
    <n v="16"/>
  </r>
  <r>
    <d v="2026-03-20T00:00:00"/>
    <s v="20/03/2026"/>
    <x v="6"/>
    <x v="8"/>
    <x v="173"/>
    <x v="169"/>
    <x v="6"/>
    <x v="2"/>
    <s v="EKG"/>
    <x v="4"/>
    <x v="2"/>
    <n v="27450"/>
    <n v="48"/>
    <n v="16"/>
    <n v="6679.2"/>
    <n v="280"/>
    <n v="40"/>
    <n v="8"/>
    <s v="A|B|C"/>
    <n v="8"/>
    <n v="7"/>
    <n v="9"/>
    <n v="0"/>
    <n v="0"/>
    <n v="24"/>
  </r>
  <r>
    <d v="2026-03-20T00:00:00"/>
    <s v="20/03/2026"/>
    <x v="6"/>
    <x v="8"/>
    <x v="106"/>
    <x v="104"/>
    <x v="6"/>
    <x v="2"/>
    <s v="EKG"/>
    <x v="3"/>
    <x v="2"/>
    <n v="27450"/>
    <n v="153"/>
    <n v="26"/>
    <n v="2542.4749999999999"/>
    <n v="248.8"/>
    <n v="10"/>
    <n v="13"/>
    <s v="A|B|C"/>
    <n v="9"/>
    <n v="10"/>
    <n v="6"/>
    <n v="0"/>
    <n v="0"/>
    <n v="25"/>
  </r>
  <r>
    <d v="2026-03-20T00:00:00"/>
    <s v="20/03/2026"/>
    <x v="6"/>
    <x v="8"/>
    <x v="174"/>
    <x v="170"/>
    <x v="6"/>
    <x v="2"/>
    <s v="EKG"/>
    <x v="3"/>
    <x v="2"/>
    <n v="27450"/>
    <n v="64"/>
    <n v="12"/>
    <n v="1300.7329999999999"/>
    <n v="114.6"/>
    <n v="25"/>
    <n v="6"/>
    <s v="A|B|C"/>
    <n v="5"/>
    <n v="5"/>
    <n v="0"/>
    <n v="0"/>
    <n v="0"/>
    <n v="10"/>
  </r>
  <r>
    <d v="2026-03-20T00:00:00"/>
    <s v="20/03/2026"/>
    <x v="6"/>
    <x v="8"/>
    <x v="119"/>
    <x v="117"/>
    <x v="6"/>
    <x v="2"/>
    <s v="EKG"/>
    <x v="3"/>
    <x v="2"/>
    <n v="27450"/>
    <n v="107"/>
    <n v="12"/>
    <n v="1540.0150000000001"/>
    <n v="114.4"/>
    <n v="15"/>
    <n v="6"/>
    <s v="A|B|C"/>
    <n v="4"/>
    <n v="5"/>
    <n v="1"/>
    <n v="0"/>
    <n v="0"/>
    <n v="10"/>
  </r>
  <r>
    <d v="2026-03-20T00:00:00"/>
    <s v="20/03/2026"/>
    <x v="6"/>
    <x v="8"/>
    <x v="107"/>
    <x v="105"/>
    <x v="6"/>
    <x v="2"/>
    <s v="EKG"/>
    <x v="3"/>
    <x v="2"/>
    <n v="27450"/>
    <n v="30"/>
    <n v="6"/>
    <n v="451.36200000000002"/>
    <n v="47.3"/>
    <n v="40"/>
    <n v="3"/>
    <s v="A|B|C"/>
    <n v="2"/>
    <n v="1"/>
    <n v="2"/>
    <n v="0"/>
    <n v="0"/>
    <n v="5"/>
  </r>
  <r>
    <d v="2026-03-20T00:00:00"/>
    <s v="20/03/2026"/>
    <x v="6"/>
    <x v="8"/>
    <x v="108"/>
    <x v="106"/>
    <x v="6"/>
    <x v="2"/>
    <s v="EKG"/>
    <x v="3"/>
    <x v="2"/>
    <n v="27450"/>
    <n v="30"/>
    <n v="4"/>
    <n v="327.49"/>
    <n v="28"/>
    <n v="30"/>
    <n v="2"/>
    <s v="A|B|C"/>
    <n v="1"/>
    <n v="2"/>
    <n v="0"/>
    <n v="0"/>
    <n v="0"/>
    <n v="3"/>
  </r>
  <r>
    <d v="2026-03-20T00:00:00"/>
    <s v="20/03/2026"/>
    <x v="6"/>
    <x v="4"/>
    <x v="175"/>
    <x v="171"/>
    <x v="6"/>
    <x v="2"/>
    <s v="EKG"/>
    <x v="3"/>
    <x v="2"/>
    <n v="27450"/>
    <n v="101"/>
    <n v="10"/>
    <n v="699.13800000000003"/>
    <n v="72"/>
    <n v="20"/>
    <n v="4"/>
    <s v="A|B|C"/>
    <n v="5"/>
    <n v="3"/>
    <n v="3"/>
    <n v="0"/>
    <n v="0"/>
    <n v="11"/>
  </r>
  <r>
    <d v="2026-03-20T00:00:00"/>
    <s v="20/03/2026"/>
    <x v="6"/>
    <x v="8"/>
    <x v="176"/>
    <x v="172"/>
    <x v="6"/>
    <x v="2"/>
    <s v="EKG"/>
    <x v="4"/>
    <x v="2"/>
    <n v="27450"/>
    <n v="54"/>
    <n v="6"/>
    <n v="525.36599999999999"/>
    <n v="49.6"/>
    <n v="30"/>
    <n v="3"/>
    <s v="A|B|C"/>
    <n v="3"/>
    <n v="2"/>
    <n v="1"/>
    <n v="0"/>
    <n v="0"/>
    <n v="6"/>
  </r>
  <r>
    <d v="2026-03-20T00:00:00"/>
    <s v="20/03/2026"/>
    <x v="6"/>
    <x v="8"/>
    <x v="109"/>
    <x v="107"/>
    <x v="6"/>
    <x v="2"/>
    <s v="EKG"/>
    <x v="3"/>
    <x v="2"/>
    <n v="27450"/>
    <n v="71"/>
    <n v="18"/>
    <n v="2357.4389999999999"/>
    <n v="222.7"/>
    <n v="20"/>
    <n v="9"/>
    <s v="A|B|C"/>
    <n v="6"/>
    <n v="5"/>
    <n v="5"/>
    <n v="0"/>
    <n v="0"/>
    <n v="16"/>
  </r>
  <r>
    <d v="2026-03-20T00:00:00"/>
    <s v="20/03/2026"/>
    <x v="6"/>
    <x v="8"/>
    <x v="177"/>
    <x v="173"/>
    <x v="6"/>
    <x v="2"/>
    <s v="EKG"/>
    <x v="4"/>
    <x v="2"/>
    <n v="27450"/>
    <n v="26"/>
    <n v="6"/>
    <n v="704.28800000000001"/>
    <n v="66.599999999999994"/>
    <n v="60"/>
    <n v="3"/>
    <s v="A|B|C"/>
    <n v="2"/>
    <n v="2"/>
    <n v="1"/>
    <n v="0"/>
    <n v="0"/>
    <n v="5"/>
  </r>
  <r>
    <d v="2026-03-20T00:00:00"/>
    <s v="20/03/2026"/>
    <x v="6"/>
    <x v="8"/>
    <x v="178"/>
    <x v="174"/>
    <x v="6"/>
    <x v="2"/>
    <s v="EKG"/>
    <x v="4"/>
    <x v="2"/>
    <n v="27450"/>
    <n v="20"/>
    <n v="6"/>
    <n v="2410.69"/>
    <n v="0.6"/>
    <n v="100"/>
    <n v="3"/>
    <s v="A|B|C"/>
    <n v="3"/>
    <n v="3"/>
    <n v="0"/>
    <n v="0"/>
    <n v="0"/>
    <n v="6"/>
  </r>
  <r>
    <d v="2026-03-20T00:00:00"/>
    <s v="20/03/2026"/>
    <x v="6"/>
    <x v="3"/>
    <x v="112"/>
    <x v="110"/>
    <x v="6"/>
    <x v="2"/>
    <s v="EKG"/>
    <x v="3"/>
    <x v="2"/>
    <n v="27450"/>
    <n v="101"/>
    <n v="8"/>
    <n v="418.01600000000002"/>
    <n v="30.7"/>
    <n v="12"/>
    <n v="4"/>
    <s v="A|B|C"/>
    <n v="2"/>
    <n v="4"/>
    <n v="0"/>
    <n v="0"/>
    <n v="0"/>
    <n v="6"/>
  </r>
  <r>
    <d v="2026-03-20T00:00:00"/>
    <s v="20/03/2026"/>
    <x v="6"/>
    <x v="4"/>
    <x v="179"/>
    <x v="168"/>
    <x v="6"/>
    <x v="2"/>
    <s v="EKG"/>
    <x v="4"/>
    <x v="2"/>
    <n v="27450"/>
    <n v="32"/>
    <n v="10"/>
    <n v="4336.4639999999999"/>
    <n v="62.8"/>
    <n v="60"/>
    <n v="5"/>
    <s v="A|B|C"/>
    <n v="6"/>
    <n v="4"/>
    <n v="6"/>
    <n v="0"/>
    <n v="0"/>
    <n v="16"/>
  </r>
  <r>
    <d v="2026-03-20T00:00:00"/>
    <s v="20/03/2026"/>
    <x v="6"/>
    <x v="6"/>
    <x v="180"/>
    <x v="175"/>
    <x v="6"/>
    <x v="2"/>
    <s v="EKG"/>
    <x v="4"/>
    <x v="2"/>
    <n v="27450"/>
    <n v="14"/>
    <n v="6"/>
    <n v="1876.546"/>
    <n v="130.80000000000001"/>
    <n v="120"/>
    <n v="3"/>
    <s v="A|B|C"/>
    <n v="3"/>
    <n v="2"/>
    <n v="2"/>
    <n v="0"/>
    <n v="0"/>
    <n v="7"/>
  </r>
  <r>
    <d v="2026-03-20T00:00:00"/>
    <s v="20/03/2026"/>
    <x v="6"/>
    <x v="10"/>
    <x v="181"/>
    <x v="176"/>
    <x v="6"/>
    <x v="2"/>
    <s v="EKG"/>
    <x v="1"/>
    <x v="2"/>
    <n v="27450"/>
    <n v="50"/>
    <n v="6"/>
    <n v="508.125"/>
    <n v="14.2"/>
    <n v="30"/>
    <n v="2"/>
    <s v="A|B|C"/>
    <n v="2"/>
    <n v="2"/>
    <n v="0"/>
    <n v="0"/>
    <n v="0"/>
    <n v="4"/>
  </r>
  <r>
    <d v="2026-03-20T00:00:00"/>
    <s v="20/03/2026"/>
    <x v="6"/>
    <x v="6"/>
    <x v="182"/>
    <x v="177"/>
    <x v="6"/>
    <x v="2"/>
    <s v="EKG"/>
    <x v="1"/>
    <x v="2"/>
    <n v="27450"/>
    <n v="29"/>
    <n v="32"/>
    <n v="836.96900000000005"/>
    <n v="3.278"/>
    <n v="30"/>
    <n v="3"/>
    <s v="A|B|C"/>
    <n v="3"/>
    <n v="3"/>
    <n v="0"/>
    <n v="0"/>
    <n v="0"/>
    <n v="6"/>
  </r>
  <r>
    <d v="2026-03-20T00:00:00"/>
    <s v="20/03/2026"/>
    <x v="6"/>
    <x v="9"/>
    <x v="183"/>
    <x v="178"/>
    <x v="6"/>
    <x v="2"/>
    <s v="EKG"/>
    <x v="4"/>
    <x v="2"/>
    <n v="27450"/>
    <n v="16"/>
    <n v="6"/>
    <n v="523.54399999999998"/>
    <n v="45.3"/>
    <n v="60"/>
    <n v="3"/>
    <s v="A|B|C"/>
    <n v="0"/>
    <n v="0"/>
    <n v="3"/>
    <n v="0"/>
    <n v="0"/>
    <n v="3"/>
  </r>
  <r>
    <d v="2026-03-20T00:00:00"/>
    <s v="20/03/2026"/>
    <x v="6"/>
    <x v="4"/>
    <x v="184"/>
    <x v="179"/>
    <x v="6"/>
    <x v="2"/>
    <s v="EKG"/>
    <x v="4"/>
    <x v="2"/>
    <n v="27450"/>
    <n v="22"/>
    <n v="10"/>
    <n v="795.52"/>
    <n v="215"/>
    <n v="60"/>
    <n v="5"/>
    <s v="A|B|C"/>
    <n v="5"/>
    <n v="3"/>
    <n v="2"/>
    <n v="0"/>
    <n v="0"/>
    <n v="10"/>
  </r>
  <r>
    <d v="2026-03-20T00:00:00"/>
    <s v="20/03/2026"/>
    <x v="6"/>
    <x v="4"/>
    <x v="185"/>
    <x v="180"/>
    <x v="6"/>
    <x v="2"/>
    <s v="EKG"/>
    <x v="1"/>
    <x v="2"/>
    <n v="27450"/>
    <n v="35"/>
    <n v="4"/>
    <n v="287.226"/>
    <n v="20.9"/>
    <n v="30"/>
    <n v="2"/>
    <s v="A|B|C"/>
    <n v="0"/>
    <n v="2"/>
    <n v="0"/>
    <n v="0"/>
    <n v="0"/>
    <n v="2"/>
  </r>
  <r>
    <d v="2026-03-20T00:00:00"/>
    <s v="20/03/2026"/>
    <x v="7"/>
    <x v="0"/>
    <x v="125"/>
    <x v="123"/>
    <x v="7"/>
    <x v="6"/>
    <s v="ARD"/>
    <x v="0"/>
    <x v="0"/>
    <n v="27440"/>
    <n v="38"/>
    <n v="10"/>
    <n v="500.66899999999998"/>
    <n v="185.4"/>
    <n v="20"/>
    <n v="3"/>
    <s v="A|B|C"/>
    <n v="3"/>
    <n v="3"/>
    <n v="0"/>
    <n v="0"/>
    <n v="0"/>
    <n v="6"/>
  </r>
  <r>
    <d v="2026-03-20T00:00:00"/>
    <s v="20/03/2026"/>
    <x v="7"/>
    <x v="0"/>
    <x v="129"/>
    <x v="126"/>
    <x v="7"/>
    <x v="6"/>
    <s v="ARD"/>
    <x v="0"/>
    <x v="0"/>
    <n v="27440"/>
    <n v="7"/>
    <n v="2"/>
    <n v="164.58500000000001"/>
    <n v="46.7"/>
    <n v="25"/>
    <n v="1"/>
    <s v="A|B|C"/>
    <n v="1"/>
    <n v="0"/>
    <n v="1"/>
    <n v="0"/>
    <n v="0"/>
    <n v="2"/>
  </r>
  <r>
    <d v="2026-03-20T00:00:00"/>
    <s v="20/03/2026"/>
    <x v="7"/>
    <x v="0"/>
    <x v="186"/>
    <x v="181"/>
    <x v="7"/>
    <x v="6"/>
    <s v="ARD"/>
    <x v="0"/>
    <x v="0"/>
    <n v="27440"/>
    <n v="66"/>
    <n v="26"/>
    <n v="1106.021"/>
    <n v="413.2"/>
    <n v="15"/>
    <n v="6"/>
    <s v="A|B|C"/>
    <n v="6"/>
    <n v="7"/>
    <n v="0"/>
    <n v="0"/>
    <n v="0"/>
    <n v="13"/>
  </r>
  <r>
    <d v="2026-03-20T00:00:00"/>
    <s v="20/03/2026"/>
    <x v="7"/>
    <x v="0"/>
    <x v="130"/>
    <x v="127"/>
    <x v="7"/>
    <x v="6"/>
    <s v="ARD"/>
    <x v="2"/>
    <x v="0"/>
    <n v="27440"/>
    <n v="115"/>
    <n v="22"/>
    <n v="1599.1210000000001"/>
    <n v="403.2"/>
    <n v="18"/>
    <n v="9"/>
    <s v="A|B|C"/>
    <n v="9"/>
    <n v="7"/>
    <n v="4"/>
    <n v="0"/>
    <n v="0"/>
    <n v="20"/>
  </r>
  <r>
    <d v="2026-03-20T00:00:00"/>
    <s v="20/03/2026"/>
    <x v="7"/>
    <x v="0"/>
    <x v="187"/>
    <x v="182"/>
    <x v="7"/>
    <x v="6"/>
    <s v="ARD"/>
    <x v="0"/>
    <x v="0"/>
    <n v="27440"/>
    <n v="32"/>
    <n v="14"/>
    <n v="1873.1690000000001"/>
    <n v="209.04"/>
    <n v="25"/>
    <n v="4"/>
    <s v="A|B|C"/>
    <n v="4"/>
    <n v="4"/>
    <n v="1"/>
    <n v="0"/>
    <n v="0"/>
    <n v="9"/>
  </r>
  <r>
    <d v="2026-03-20T00:00:00"/>
    <s v="20/03/2026"/>
    <x v="7"/>
    <x v="0"/>
    <x v="100"/>
    <x v="98"/>
    <x v="7"/>
    <x v="6"/>
    <s v="ARD"/>
    <x v="0"/>
    <x v="0"/>
    <n v="27440"/>
    <n v="104"/>
    <n v="24"/>
    <n v="3207.9110000000001"/>
    <n v="578.20000000000005"/>
    <n v="15"/>
    <n v="10"/>
    <s v="A|B|C"/>
    <n v="11"/>
    <n v="8"/>
    <n v="1"/>
    <n v="0"/>
    <n v="0"/>
    <n v="20"/>
  </r>
  <r>
    <d v="2026-03-20T00:00:00"/>
    <s v="20/03/2026"/>
    <x v="7"/>
    <x v="0"/>
    <x v="101"/>
    <x v="99"/>
    <x v="7"/>
    <x v="6"/>
    <s v="ARD"/>
    <x v="0"/>
    <x v="0"/>
    <n v="27440"/>
    <n v="8"/>
    <n v="4"/>
    <n v="224.44399999999999"/>
    <n v="60.5"/>
    <n v="85"/>
    <n v="1"/>
    <s v="A|B|C"/>
    <n v="1"/>
    <n v="1"/>
    <n v="0"/>
    <n v="0"/>
    <n v="0"/>
    <n v="2"/>
  </r>
  <r>
    <d v="2026-03-20T00:00:00"/>
    <s v="20/03/2026"/>
    <x v="7"/>
    <x v="0"/>
    <x v="133"/>
    <x v="130"/>
    <x v="7"/>
    <x v="6"/>
    <s v="ARD"/>
    <x v="0"/>
    <x v="0"/>
    <n v="27440"/>
    <n v="21"/>
    <n v="14"/>
    <n v="561.01"/>
    <n v="266.39999999999998"/>
    <n v="15"/>
    <n v="4"/>
    <s v="A|B|C"/>
    <n v="3"/>
    <n v="2"/>
    <n v="2"/>
    <n v="0"/>
    <n v="0"/>
    <n v="7"/>
  </r>
  <r>
    <d v="2026-03-20T00:00:00"/>
    <s v="20/03/2026"/>
    <x v="7"/>
    <x v="0"/>
    <x v="188"/>
    <x v="183"/>
    <x v="7"/>
    <x v="6"/>
    <s v="ARD"/>
    <x v="4"/>
    <x v="0"/>
    <n v="27440"/>
    <n v="16"/>
    <n v="6"/>
    <n v="1246.6479999999999"/>
    <n v="108.5"/>
    <n v="99"/>
    <n v="2"/>
    <s v="A|B|C"/>
    <n v="2"/>
    <n v="2"/>
    <n v="0"/>
    <n v="0"/>
    <n v="0"/>
    <n v="4"/>
  </r>
  <r>
    <d v="2026-03-20T00:00:00"/>
    <s v="20/03/2026"/>
    <x v="7"/>
    <x v="0"/>
    <x v="189"/>
    <x v="184"/>
    <x v="7"/>
    <x v="6"/>
    <s v="ARD"/>
    <x v="4"/>
    <x v="0"/>
    <n v="27440"/>
    <n v="16"/>
    <n v="8"/>
    <n v="1317.664"/>
    <n v="163.19999999999999"/>
    <n v="115"/>
    <n v="3"/>
    <s v="A|B|C"/>
    <n v="2"/>
    <n v="3"/>
    <n v="1"/>
    <n v="0"/>
    <n v="0"/>
    <n v="6"/>
  </r>
  <r>
    <d v="2026-03-20T00:00:00"/>
    <s v="20/03/2026"/>
    <x v="7"/>
    <x v="0"/>
    <x v="190"/>
    <x v="185"/>
    <x v="7"/>
    <x v="6"/>
    <s v="ARD"/>
    <x v="4"/>
    <x v="0"/>
    <n v="27440"/>
    <n v="4"/>
    <n v="4"/>
    <n v="542.15200000000004"/>
    <n v="114.6"/>
    <n v="180"/>
    <n v="1"/>
    <s v="A|B|C"/>
    <n v="1"/>
    <n v="1"/>
    <n v="0"/>
    <n v="0"/>
    <n v="0"/>
    <n v="2"/>
  </r>
  <r>
    <d v="2026-03-20T00:00:00"/>
    <s v="20/03/2026"/>
    <x v="7"/>
    <x v="0"/>
    <x v="58"/>
    <x v="57"/>
    <x v="7"/>
    <x v="6"/>
    <s v="ARD"/>
    <x v="0"/>
    <x v="0"/>
    <n v="27440"/>
    <n v="24"/>
    <n v="16"/>
    <n v="849.64099999999996"/>
    <n v="297.7"/>
    <n v="30"/>
    <n v="4"/>
    <s v="A|B|C"/>
    <n v="4"/>
    <n v="3"/>
    <n v="1"/>
    <n v="0"/>
    <n v="0"/>
    <n v="8"/>
  </r>
  <r>
    <d v="2026-03-20T00:00:00"/>
    <s v="20/03/2026"/>
    <x v="7"/>
    <x v="0"/>
    <x v="23"/>
    <x v="22"/>
    <x v="7"/>
    <x v="6"/>
    <s v="ARD"/>
    <x v="2"/>
    <x v="0"/>
    <n v="27440"/>
    <n v="78"/>
    <n v="12"/>
    <n v="1326.864"/>
    <n v="310"/>
    <n v="15"/>
    <n v="6"/>
    <s v="A|B|C"/>
    <n v="8"/>
    <n v="4"/>
    <n v="6"/>
    <n v="0"/>
    <n v="0"/>
    <n v="18"/>
  </r>
  <r>
    <d v="2026-03-20T00:00:00"/>
    <s v="20/03/2026"/>
    <x v="7"/>
    <x v="0"/>
    <x v="46"/>
    <x v="45"/>
    <x v="7"/>
    <x v="6"/>
    <s v="ARD"/>
    <x v="0"/>
    <x v="0"/>
    <n v="27440"/>
    <n v="91"/>
    <n v="28"/>
    <n v="1583.63"/>
    <n v="600.20000000000005"/>
    <n v="20"/>
    <n v="10"/>
    <s v="A|B|C"/>
    <n v="9"/>
    <n v="8"/>
    <n v="2"/>
    <n v="0"/>
    <n v="0"/>
    <n v="19"/>
  </r>
  <r>
    <d v="2026-03-20T00:00:00"/>
    <s v="20/03/2026"/>
    <x v="7"/>
    <x v="0"/>
    <x v="103"/>
    <x v="101"/>
    <x v="7"/>
    <x v="6"/>
    <s v="ARD"/>
    <x v="0"/>
    <x v="0"/>
    <n v="27440"/>
    <n v="42"/>
    <n v="12"/>
    <n v="907.947"/>
    <n v="243.86199999999999"/>
    <n v="30"/>
    <n v="4"/>
    <s v="A|B|C"/>
    <n v="4"/>
    <n v="4"/>
    <n v="0"/>
    <n v="0"/>
    <n v="0"/>
    <n v="8"/>
  </r>
  <r>
    <d v="2026-03-20T00:00:00"/>
    <s v="20/03/2026"/>
    <x v="7"/>
    <x v="0"/>
    <x v="118"/>
    <x v="116"/>
    <x v="7"/>
    <x v="6"/>
    <s v="ARD"/>
    <x v="0"/>
    <x v="0"/>
    <n v="27440"/>
    <n v="54"/>
    <n v="16"/>
    <n v="882.15700000000004"/>
    <n v="394.1"/>
    <n v="30"/>
    <n v="6"/>
    <s v="A|B|C"/>
    <n v="6"/>
    <n v="6"/>
    <n v="0"/>
    <n v="0"/>
    <n v="0"/>
    <n v="12"/>
  </r>
  <r>
    <d v="2026-03-20T00:00:00"/>
    <s v="20/03/2026"/>
    <x v="7"/>
    <x v="0"/>
    <x v="104"/>
    <x v="102"/>
    <x v="7"/>
    <x v="6"/>
    <s v="ARD"/>
    <x v="0"/>
    <x v="0"/>
    <n v="27440"/>
    <n v="20"/>
    <n v="14"/>
    <n v="479.416"/>
    <n v="368"/>
    <n v="15"/>
    <n v="7"/>
    <s v="A|B|C"/>
    <n v="0"/>
    <n v="1"/>
    <n v="6"/>
    <n v="0"/>
    <n v="0"/>
    <n v="7"/>
  </r>
  <r>
    <d v="2026-03-20T00:00:00"/>
    <s v="20/03/2026"/>
    <x v="7"/>
    <x v="7"/>
    <x v="191"/>
    <x v="186"/>
    <x v="7"/>
    <x v="6"/>
    <s v="ARD"/>
    <x v="4"/>
    <x v="0"/>
    <n v="27440"/>
    <n v="24"/>
    <n v="8"/>
    <n v="248.68799999999999"/>
    <n v="144.19999999999999"/>
    <n v="19"/>
    <n v="2"/>
    <s v="A|B|C"/>
    <n v="2"/>
    <n v="1"/>
    <n v="1"/>
    <n v="0"/>
    <n v="0"/>
    <n v="4"/>
  </r>
  <r>
    <d v="2026-03-20T00:00:00"/>
    <s v="20/03/2026"/>
    <x v="7"/>
    <x v="3"/>
    <x v="192"/>
    <x v="187"/>
    <x v="7"/>
    <x v="6"/>
    <s v="ARD"/>
    <x v="2"/>
    <x v="0"/>
    <n v="27440"/>
    <n v="49"/>
    <n v="8"/>
    <n v="468.30200000000002"/>
    <n v="194.6"/>
    <n v="30"/>
    <n v="3"/>
    <s v="A|B|C"/>
    <n v="4"/>
    <n v="2"/>
    <n v="1"/>
    <n v="0"/>
    <n v="0"/>
    <n v="7"/>
  </r>
  <r>
    <d v="2026-03-20T00:00:00"/>
    <s v="20/03/2026"/>
    <x v="7"/>
    <x v="3"/>
    <x v="193"/>
    <x v="188"/>
    <x v="7"/>
    <x v="6"/>
    <s v="ARD"/>
    <x v="0"/>
    <x v="0"/>
    <n v="27440"/>
    <n v="88"/>
    <n v="12"/>
    <n v="564.87199999999996"/>
    <n v="261.2"/>
    <n v="10"/>
    <n v="4"/>
    <s v="A|B|C"/>
    <n v="4"/>
    <n v="2"/>
    <n v="2"/>
    <n v="0"/>
    <n v="0"/>
    <n v="8"/>
  </r>
  <r>
    <d v="2026-03-20T00:00:00"/>
    <s v="20/03/2026"/>
    <x v="7"/>
    <x v="3"/>
    <x v="147"/>
    <x v="143"/>
    <x v="7"/>
    <x v="6"/>
    <s v="ARD"/>
    <x v="2"/>
    <x v="0"/>
    <n v="27440"/>
    <n v="81"/>
    <n v="12"/>
    <n v="1134.6479999999999"/>
    <n v="290.39999999999998"/>
    <n v="8"/>
    <n v="6"/>
    <s v="A|B|C"/>
    <n v="6"/>
    <n v="6"/>
    <n v="0"/>
    <n v="0"/>
    <n v="0"/>
    <n v="12"/>
  </r>
  <r>
    <d v="2026-03-21T00:00:00"/>
    <s v="20/03/2026"/>
    <x v="7"/>
    <x v="3"/>
    <x v="194"/>
    <x v="189"/>
    <x v="7"/>
    <x v="6"/>
    <s v="ARD"/>
    <x v="2"/>
    <x v="0"/>
    <n v="27440"/>
    <n v="70"/>
    <n v="24"/>
    <n v="853.93"/>
    <n v="382.8"/>
    <n v="10"/>
    <n v="6"/>
    <s v="A|B|C"/>
    <n v="6"/>
    <n v="4"/>
    <n v="2"/>
    <n v="0"/>
    <n v="0"/>
    <n v="12"/>
  </r>
  <r>
    <d v="2026-03-21T00:00:00"/>
    <s v="20/03/2026"/>
    <x v="7"/>
    <x v="3"/>
    <x v="163"/>
    <x v="159"/>
    <x v="7"/>
    <x v="6"/>
    <s v="ARD"/>
    <x v="0"/>
    <x v="0"/>
    <n v="27440"/>
    <n v="52"/>
    <n v="4"/>
    <n v="192.71199999999999"/>
    <n v="72.349999999999994"/>
    <n v="23"/>
    <n v="3"/>
    <s v="A|B|C"/>
    <n v="2"/>
    <n v="1"/>
    <n v="1"/>
    <n v="0"/>
    <n v="0"/>
    <n v="4"/>
  </r>
  <r>
    <d v="2026-03-21T00:00:00"/>
    <s v="20/03/2026"/>
    <x v="7"/>
    <x v="3"/>
    <x v="195"/>
    <x v="190"/>
    <x v="7"/>
    <x v="6"/>
    <s v="ARD"/>
    <x v="2"/>
    <x v="0"/>
    <n v="27440"/>
    <n v="59"/>
    <n v="16"/>
    <n v="682.98400000000004"/>
    <n v="324.5"/>
    <n v="9"/>
    <n v="5"/>
    <s v="A|B|C"/>
    <n v="9"/>
    <n v="7"/>
    <n v="0"/>
    <n v="0"/>
    <n v="0"/>
    <n v="16"/>
  </r>
  <r>
    <d v="2026-03-21T00:00:00"/>
    <s v="20/03/2026"/>
    <x v="7"/>
    <x v="3"/>
    <x v="196"/>
    <x v="191"/>
    <x v="7"/>
    <x v="6"/>
    <s v="ARD"/>
    <x v="2"/>
    <x v="0"/>
    <n v="27440"/>
    <n v="59"/>
    <n v="16"/>
    <n v="705.11300000000006"/>
    <n v="323"/>
    <n v="8"/>
    <n v="7"/>
    <s v="A|B|C"/>
    <n v="3"/>
    <n v="0"/>
    <n v="1"/>
    <n v="0"/>
    <n v="0"/>
    <n v="4"/>
  </r>
  <r>
    <d v="2026-03-21T00:00:00"/>
    <s v="20/03/2026"/>
    <x v="7"/>
    <x v="3"/>
    <x v="197"/>
    <x v="192"/>
    <x v="7"/>
    <x v="6"/>
    <s v="ARD"/>
    <x v="2"/>
    <x v="0"/>
    <n v="27440"/>
    <n v="48"/>
    <n v="14"/>
    <n v="1046.604"/>
    <n v="371.9"/>
    <n v="20"/>
    <n v="5"/>
    <s v="A|B|C"/>
    <n v="7"/>
    <n v="3"/>
    <n v="2"/>
    <n v="0"/>
    <n v="0"/>
    <n v="12"/>
  </r>
  <r>
    <d v="2026-03-21T00:00:00"/>
    <s v="20/03/2026"/>
    <x v="7"/>
    <x v="3"/>
    <x v="152"/>
    <x v="148"/>
    <x v="7"/>
    <x v="6"/>
    <s v="ARD"/>
    <x v="0"/>
    <x v="0"/>
    <n v="27440"/>
    <n v="92"/>
    <n v="16"/>
    <n v="822.84799999999996"/>
    <n v="264.39999999999998"/>
    <n v="7"/>
    <n v="5"/>
    <s v="A|B|C"/>
    <n v="5"/>
    <n v="2"/>
    <n v="3"/>
    <n v="0"/>
    <n v="0"/>
    <n v="10"/>
  </r>
  <r>
    <d v="2026-03-21T00:00:00"/>
    <s v="20/03/2026"/>
    <x v="7"/>
    <x v="3"/>
    <x v="198"/>
    <x v="193"/>
    <x v="7"/>
    <x v="6"/>
    <s v="ARD"/>
    <x v="2"/>
    <x v="0"/>
    <n v="27440"/>
    <n v="53"/>
    <n v="6"/>
    <n v="326.86599999999999"/>
    <n v="104.6"/>
    <n v="20"/>
    <n v="2"/>
    <s v="A|B|C"/>
    <n v="2"/>
    <n v="2"/>
    <n v="1"/>
    <n v="0"/>
    <n v="0"/>
    <n v="5"/>
  </r>
  <r>
    <d v="2026-03-21T00:00:00"/>
    <s v="20/03/2026"/>
    <x v="7"/>
    <x v="1"/>
    <x v="199"/>
    <x v="194"/>
    <x v="7"/>
    <x v="6"/>
    <s v="ARD"/>
    <x v="0"/>
    <x v="0"/>
    <n v="27440"/>
    <n v="55"/>
    <n v="26"/>
    <n v="638.68200000000002"/>
    <n v="384.7"/>
    <n v="20"/>
    <n v="7"/>
    <s v="A|B|C"/>
    <n v="6"/>
    <n v="7"/>
    <n v="0"/>
    <n v="0"/>
    <n v="0"/>
    <n v="13"/>
  </r>
  <r>
    <d v="2026-03-21T00:00:00"/>
    <s v="20/03/2026"/>
    <x v="7"/>
    <x v="1"/>
    <x v="115"/>
    <x v="113"/>
    <x v="7"/>
    <x v="6"/>
    <s v="ARD"/>
    <x v="0"/>
    <x v="0"/>
    <n v="27440"/>
    <n v="12"/>
    <n v="6"/>
    <n v="277.63799999999998"/>
    <n v="105.4"/>
    <n v="20"/>
    <n v="2"/>
    <s v="A|B|C"/>
    <n v="1"/>
    <n v="2"/>
    <n v="0"/>
    <n v="0"/>
    <n v="0"/>
    <n v="3"/>
  </r>
  <r>
    <d v="2026-03-21T00:00:00"/>
    <s v="20/03/2026"/>
    <x v="7"/>
    <x v="1"/>
    <x v="116"/>
    <x v="114"/>
    <x v="7"/>
    <x v="6"/>
    <s v="ARD"/>
    <x v="0"/>
    <x v="0"/>
    <n v="27440"/>
    <n v="14"/>
    <n v="14"/>
    <n v="485.73700000000002"/>
    <n v="240.4"/>
    <n v="15"/>
    <n v="4"/>
    <s v="A|B|C"/>
    <n v="4"/>
    <n v="0"/>
    <n v="3"/>
    <n v="0"/>
    <n v="0"/>
    <n v="7"/>
  </r>
  <r>
    <d v="2026-03-21T00:00:00"/>
    <s v="20/03/2026"/>
    <x v="7"/>
    <x v="1"/>
    <x v="47"/>
    <x v="46"/>
    <x v="7"/>
    <x v="6"/>
    <s v="ARD"/>
    <x v="0"/>
    <x v="0"/>
    <n v="27440"/>
    <n v="78"/>
    <n v="28"/>
    <n v="2420.614"/>
    <n v="558.1"/>
    <n v="17"/>
    <n v="9"/>
    <s v="A|B|C"/>
    <n v="9"/>
    <n v="8"/>
    <n v="2"/>
    <n v="0"/>
    <n v="0"/>
    <n v="19"/>
  </r>
  <r>
    <d v="2026-03-21T00:00:00"/>
    <s v="20/03/2026"/>
    <x v="7"/>
    <x v="0"/>
    <x v="97"/>
    <x v="96"/>
    <x v="7"/>
    <x v="6"/>
    <s v="ARD"/>
    <x v="0"/>
    <x v="1"/>
    <n v="27439"/>
    <n v="12"/>
    <n v="2"/>
    <n v="304.44400000000002"/>
    <n v="60"/>
    <n v="30"/>
    <n v="1"/>
    <s v="A|B|C"/>
    <n v="1"/>
    <n v="1"/>
    <n v="0"/>
    <n v="0"/>
    <n v="0"/>
    <n v="2"/>
  </r>
  <r>
    <d v="2026-03-21T00:00:00"/>
    <s v="20/03/2026"/>
    <x v="7"/>
    <x v="0"/>
    <x v="127"/>
    <x v="125"/>
    <x v="7"/>
    <x v="6"/>
    <s v="ARD"/>
    <x v="2"/>
    <x v="1"/>
    <n v="27439"/>
    <n v="5"/>
    <n v="2"/>
    <n v="98.924999999999997"/>
    <n v="28.25"/>
    <n v="0"/>
    <n v="0"/>
    <s v="A|B|C"/>
    <n v="0"/>
    <n v="0"/>
    <n v="0"/>
    <n v="0"/>
    <n v="0"/>
    <n v="0"/>
  </r>
  <r>
    <d v="2026-03-21T00:00:00"/>
    <s v="20/03/2026"/>
    <x v="7"/>
    <x v="0"/>
    <x v="128"/>
    <x v="122"/>
    <x v="7"/>
    <x v="6"/>
    <s v="ARD"/>
    <x v="0"/>
    <x v="1"/>
    <n v="27439"/>
    <n v="5"/>
    <n v="2"/>
    <n v="125.16500000000001"/>
    <n v="26.25"/>
    <n v="140"/>
    <n v="1"/>
    <s v="A|B|C"/>
    <n v="1"/>
    <n v="1"/>
    <n v="1"/>
    <n v="0"/>
    <n v="0"/>
    <n v="3"/>
  </r>
  <r>
    <d v="2026-03-21T00:00:00"/>
    <s v="20/03/2026"/>
    <x v="7"/>
    <x v="0"/>
    <x v="186"/>
    <x v="181"/>
    <x v="7"/>
    <x v="6"/>
    <s v="ARD"/>
    <x v="0"/>
    <x v="1"/>
    <n v="27439"/>
    <n v="42"/>
    <n v="18"/>
    <n v="703.601"/>
    <n v="287.7"/>
    <n v="20"/>
    <n v="5"/>
    <s v="A|B|C"/>
    <n v="4"/>
    <n v="4"/>
    <n v="1"/>
    <n v="0"/>
    <n v="0"/>
    <n v="9"/>
  </r>
  <r>
    <d v="2026-03-21T00:00:00"/>
    <s v="20/03/2026"/>
    <x v="7"/>
    <x v="0"/>
    <x v="130"/>
    <x v="127"/>
    <x v="7"/>
    <x v="6"/>
    <s v="ARD"/>
    <x v="2"/>
    <x v="1"/>
    <n v="27439"/>
    <n v="99"/>
    <n v="14"/>
    <n v="1378.2180000000001"/>
    <n v="312.39999999999998"/>
    <n v="25"/>
    <n v="7"/>
    <s v="A|B|C"/>
    <n v="8"/>
    <n v="4"/>
    <n v="5"/>
    <n v="0"/>
    <n v="0"/>
    <n v="17"/>
  </r>
  <r>
    <d v="2026-03-21T00:00:00"/>
    <s v="20/03/2026"/>
    <x v="7"/>
    <x v="0"/>
    <x v="187"/>
    <x v="182"/>
    <x v="7"/>
    <x v="6"/>
    <s v="ARD"/>
    <x v="0"/>
    <x v="1"/>
    <n v="27439"/>
    <n v="28"/>
    <n v="12"/>
    <n v="1649.846"/>
    <n v="189.76"/>
    <n v="30"/>
    <n v="4"/>
    <s v="A|B|C"/>
    <n v="4"/>
    <n v="4"/>
    <n v="0"/>
    <n v="0"/>
    <n v="0"/>
    <n v="8"/>
  </r>
  <r>
    <d v="2026-03-21T00:00:00"/>
    <s v="20/03/2026"/>
    <x v="7"/>
    <x v="0"/>
    <x v="100"/>
    <x v="98"/>
    <x v="7"/>
    <x v="6"/>
    <s v="ARD"/>
    <x v="0"/>
    <x v="1"/>
    <n v="27439"/>
    <n v="102"/>
    <n v="20"/>
    <n v="3146.0410000000002"/>
    <n v="510"/>
    <n v="15"/>
    <n v="10"/>
    <s v="A|B|C"/>
    <n v="9"/>
    <n v="7"/>
    <n v="2"/>
    <n v="0"/>
    <n v="0"/>
    <n v="18"/>
  </r>
  <r>
    <d v="2026-03-21T00:00:00"/>
    <s v="20/03/2026"/>
    <x v="7"/>
    <x v="0"/>
    <x v="17"/>
    <x v="16"/>
    <x v="7"/>
    <x v="6"/>
    <s v="ARD"/>
    <x v="0"/>
    <x v="1"/>
    <n v="27439"/>
    <n v="38"/>
    <n v="8"/>
    <n v="1487.9090000000001"/>
    <n v="203.6"/>
    <n v="30"/>
    <n v="4"/>
    <s v="A|B|C"/>
    <n v="6"/>
    <n v="2"/>
    <n v="3"/>
    <n v="0"/>
    <n v="0"/>
    <n v="11"/>
  </r>
  <r>
    <d v="2026-03-21T00:00:00"/>
    <s v="20/03/2026"/>
    <x v="7"/>
    <x v="0"/>
    <x v="19"/>
    <x v="18"/>
    <x v="7"/>
    <x v="6"/>
    <s v="ARD"/>
    <x v="0"/>
    <x v="1"/>
    <n v="27439"/>
    <n v="8"/>
    <n v="2"/>
    <n v="211.84399999999999"/>
    <n v="51.8"/>
    <n v="115"/>
    <n v="1"/>
    <s v="A|B|C"/>
    <n v="1"/>
    <n v="1"/>
    <n v="0"/>
    <n v="0"/>
    <n v="0"/>
    <n v="2"/>
  </r>
  <r>
    <d v="2026-03-21T00:00:00"/>
    <s v="20/03/2026"/>
    <x v="7"/>
    <x v="0"/>
    <x v="133"/>
    <x v="130"/>
    <x v="7"/>
    <x v="6"/>
    <s v="ARD"/>
    <x v="0"/>
    <x v="1"/>
    <n v="27439"/>
    <n v="61"/>
    <n v="16"/>
    <n v="1653.9960000000001"/>
    <n v="295.89999999999998"/>
    <n v="20"/>
    <n v="7"/>
    <s v="A|B|C"/>
    <n v="7"/>
    <n v="5"/>
    <n v="2"/>
    <n v="0"/>
    <n v="0"/>
    <n v="14"/>
  </r>
  <r>
    <d v="2026-03-21T00:00:00"/>
    <s v="20/03/2026"/>
    <x v="7"/>
    <x v="0"/>
    <x v="188"/>
    <x v="183"/>
    <x v="7"/>
    <x v="6"/>
    <s v="ARD"/>
    <x v="4"/>
    <x v="1"/>
    <n v="27439"/>
    <n v="16"/>
    <n v="6"/>
    <n v="1246.6479999999999"/>
    <n v="108.5"/>
    <n v="90"/>
    <n v="2"/>
    <s v="A|B|C"/>
    <n v="2"/>
    <n v="2"/>
    <n v="0"/>
    <n v="0"/>
    <n v="0"/>
    <n v="4"/>
  </r>
  <r>
    <d v="2026-03-21T00:00:00"/>
    <s v="20/03/2026"/>
    <x v="7"/>
    <x v="0"/>
    <x v="189"/>
    <x v="184"/>
    <x v="7"/>
    <x v="6"/>
    <s v="ARD"/>
    <x v="4"/>
    <x v="1"/>
    <n v="27439"/>
    <n v="16"/>
    <n v="10"/>
    <n v="1317.664"/>
    <n v="171.69"/>
    <n v="115"/>
    <n v="3"/>
    <s v="A|B|C"/>
    <n v="3"/>
    <n v="2"/>
    <n v="0"/>
    <n v="0"/>
    <n v="0"/>
    <n v="5"/>
  </r>
  <r>
    <d v="2026-03-21T00:00:00"/>
    <s v="20/03/2026"/>
    <x v="7"/>
    <x v="0"/>
    <x v="190"/>
    <x v="185"/>
    <x v="7"/>
    <x v="6"/>
    <s v="ARD"/>
    <x v="4"/>
    <x v="1"/>
    <n v="27439"/>
    <n v="4"/>
    <n v="4"/>
    <n v="542.15200000000004"/>
    <n v="130.80000000000001"/>
    <n v="180"/>
    <n v="1"/>
    <s v="A|B|C"/>
    <n v="1"/>
    <n v="1"/>
    <n v="0"/>
    <n v="0"/>
    <n v="0"/>
    <n v="2"/>
  </r>
  <r>
    <d v="2026-03-21T00:00:00"/>
    <s v="20/03/2026"/>
    <x v="7"/>
    <x v="0"/>
    <x v="23"/>
    <x v="22"/>
    <x v="7"/>
    <x v="6"/>
    <s v="ARD"/>
    <x v="2"/>
    <x v="1"/>
    <n v="27439"/>
    <n v="84"/>
    <n v="12"/>
    <n v="1428.9870000000001"/>
    <n v="310"/>
    <n v="20"/>
    <n v="6"/>
    <s v="A|B|C"/>
    <n v="8"/>
    <n v="4"/>
    <n v="6"/>
    <n v="0"/>
    <n v="0"/>
    <n v="18"/>
  </r>
  <r>
    <d v="2026-03-21T00:00:00"/>
    <s v="20/03/2026"/>
    <x v="7"/>
    <x v="0"/>
    <x v="46"/>
    <x v="45"/>
    <x v="7"/>
    <x v="6"/>
    <s v="ARD"/>
    <x v="0"/>
    <x v="1"/>
    <n v="27439"/>
    <n v="8"/>
    <n v="4"/>
    <n v="138.768"/>
    <n v="48.8"/>
    <n v="30"/>
    <n v="1"/>
    <s v="A|B|C"/>
    <n v="1"/>
    <n v="0"/>
    <n v="1"/>
    <n v="0"/>
    <n v="0"/>
    <n v="2"/>
  </r>
  <r>
    <d v="2026-03-21T00:00:00"/>
    <s v="20/03/2026"/>
    <x v="7"/>
    <x v="0"/>
    <x v="103"/>
    <x v="101"/>
    <x v="7"/>
    <x v="6"/>
    <s v="ARD"/>
    <x v="0"/>
    <x v="1"/>
    <n v="27439"/>
    <n v="36"/>
    <n v="6"/>
    <n v="786.19"/>
    <n v="165.7"/>
    <n v="30"/>
    <n v="3"/>
    <s v="A|B|C"/>
    <n v="4"/>
    <n v="2"/>
    <n v="1"/>
    <n v="0"/>
    <n v="0"/>
    <n v="7"/>
  </r>
  <r>
    <d v="2026-03-21T00:00:00"/>
    <s v="20/03/2026"/>
    <x v="7"/>
    <x v="0"/>
    <x v="118"/>
    <x v="116"/>
    <x v="7"/>
    <x v="6"/>
    <s v="ARD"/>
    <x v="0"/>
    <x v="1"/>
    <n v="27439"/>
    <n v="16"/>
    <n v="4"/>
    <n v="250.886"/>
    <n v="108.8"/>
    <n v="30"/>
    <n v="2"/>
    <s v="A|B|C"/>
    <n v="2"/>
    <n v="1"/>
    <n v="0"/>
    <n v="0"/>
    <n v="0"/>
    <n v="3"/>
  </r>
  <r>
    <d v="2026-03-21T00:00:00"/>
    <s v="20/03/2026"/>
    <x v="7"/>
    <x v="0"/>
    <x v="25"/>
    <x v="24"/>
    <x v="7"/>
    <x v="6"/>
    <s v="ARD"/>
    <x v="0"/>
    <x v="1"/>
    <n v="27439"/>
    <n v="16"/>
    <n v="4"/>
    <n v="379.83600000000001"/>
    <n v="102.2"/>
    <n v="16"/>
    <n v="2"/>
    <s v="A|B|C"/>
    <n v="1"/>
    <n v="2"/>
    <n v="1"/>
    <n v="0"/>
    <n v="0"/>
    <n v="4"/>
  </r>
  <r>
    <d v="2026-03-21T00:00:00"/>
    <s v="20/03/2026"/>
    <x v="7"/>
    <x v="0"/>
    <x v="104"/>
    <x v="102"/>
    <x v="7"/>
    <x v="6"/>
    <s v="ARD"/>
    <x v="0"/>
    <x v="1"/>
    <n v="27439"/>
    <n v="8"/>
    <n v="4"/>
    <n v="190.78399999999999"/>
    <n v="99"/>
    <n v="25"/>
    <n v="2"/>
    <s v="A|B|C"/>
    <n v="0"/>
    <n v="2"/>
    <n v="0"/>
    <n v="0"/>
    <n v="0"/>
    <n v="2"/>
  </r>
  <r>
    <d v="2026-03-21T00:00:00"/>
    <s v="20/03/2026"/>
    <x v="7"/>
    <x v="7"/>
    <x v="191"/>
    <x v="186"/>
    <x v="7"/>
    <x v="6"/>
    <s v="ARD"/>
    <x v="4"/>
    <x v="1"/>
    <n v="27439"/>
    <n v="16"/>
    <n v="4"/>
    <n v="165.792"/>
    <n v="61.6"/>
    <n v="37"/>
    <n v="1"/>
    <s v="A|B|C"/>
    <n v="1"/>
    <n v="1"/>
    <n v="0"/>
    <n v="0"/>
    <n v="0"/>
    <n v="2"/>
  </r>
  <r>
    <d v="2026-03-21T00:00:00"/>
    <s v="20/03/2026"/>
    <x v="7"/>
    <x v="3"/>
    <x v="192"/>
    <x v="187"/>
    <x v="7"/>
    <x v="6"/>
    <s v="ARD"/>
    <x v="2"/>
    <x v="1"/>
    <n v="27439"/>
    <n v="50"/>
    <n v="6"/>
    <n v="478.05900000000003"/>
    <n v="147.19999999999999"/>
    <n v="20"/>
    <n v="2"/>
    <s v="A|B|C"/>
    <n v="3"/>
    <n v="2"/>
    <n v="2"/>
    <n v="0"/>
    <n v="0"/>
    <n v="7"/>
  </r>
  <r>
    <d v="2026-03-21T00:00:00"/>
    <s v="20/03/2026"/>
    <x v="7"/>
    <x v="3"/>
    <x v="193"/>
    <x v="188"/>
    <x v="7"/>
    <x v="6"/>
    <s v="ARD"/>
    <x v="0"/>
    <x v="1"/>
    <n v="27439"/>
    <n v="87"/>
    <n v="10"/>
    <n v="558.45299999999997"/>
    <n v="196.8"/>
    <n v="10"/>
    <n v="4"/>
    <s v="A|B|C"/>
    <n v="3"/>
    <n v="3"/>
    <n v="1"/>
    <n v="0"/>
    <n v="0"/>
    <n v="7"/>
  </r>
  <r>
    <d v="2026-03-21T00:00:00"/>
    <s v="20/03/2026"/>
    <x v="7"/>
    <x v="3"/>
    <x v="194"/>
    <x v="189"/>
    <x v="7"/>
    <x v="6"/>
    <s v="ARD"/>
    <x v="2"/>
    <x v="1"/>
    <n v="27439"/>
    <n v="55"/>
    <n v="16"/>
    <n v="670.94500000000005"/>
    <n v="253.2"/>
    <n v="12"/>
    <n v="4"/>
    <s v="A|B|C"/>
    <n v="4"/>
    <n v="3"/>
    <n v="1"/>
    <n v="0"/>
    <n v="0"/>
    <n v="8"/>
  </r>
  <r>
    <d v="2026-03-21T00:00:00"/>
    <s v="20/03/2026"/>
    <x v="7"/>
    <x v="3"/>
    <x v="195"/>
    <x v="190"/>
    <x v="7"/>
    <x v="6"/>
    <s v="ARD"/>
    <x v="2"/>
    <x v="1"/>
    <n v="27439"/>
    <n v="36"/>
    <n v="5"/>
    <n v="413.40800000000002"/>
    <n v="119.9"/>
    <n v="20"/>
    <n v="3"/>
    <s v="A|B|C"/>
    <n v="4"/>
    <n v="3"/>
    <n v="0"/>
    <n v="0"/>
    <n v="0"/>
    <n v="7"/>
  </r>
  <r>
    <d v="2026-03-21T00:00:00"/>
    <s v="20/03/2026"/>
    <x v="7"/>
    <x v="3"/>
    <x v="196"/>
    <x v="191"/>
    <x v="7"/>
    <x v="6"/>
    <s v="ARD"/>
    <x v="2"/>
    <x v="1"/>
    <n v="27439"/>
    <n v="36"/>
    <n v="5"/>
    <n v="427.68"/>
    <n v="105.1"/>
    <n v="20"/>
    <n v="2"/>
    <s v="A|B|C"/>
    <n v="1"/>
    <n v="1"/>
    <n v="0"/>
    <n v="0"/>
    <n v="0"/>
    <n v="2"/>
  </r>
  <r>
    <d v="2026-03-21T00:00:00"/>
    <s v="20/03/2026"/>
    <x v="7"/>
    <x v="3"/>
    <x v="197"/>
    <x v="192"/>
    <x v="7"/>
    <x v="6"/>
    <s v="ARD"/>
    <x v="2"/>
    <x v="1"/>
    <n v="27439"/>
    <n v="49"/>
    <n v="12"/>
    <n v="1068.5930000000001"/>
    <n v="382.3"/>
    <n v="20"/>
    <n v="6"/>
    <s v="A|B|C"/>
    <n v="6"/>
    <n v="5"/>
    <n v="1"/>
    <n v="0"/>
    <n v="0"/>
    <n v="12"/>
  </r>
  <r>
    <d v="2026-03-21T00:00:00"/>
    <s v="20/03/2026"/>
    <x v="7"/>
    <x v="3"/>
    <x v="152"/>
    <x v="148"/>
    <x v="7"/>
    <x v="6"/>
    <s v="ARD"/>
    <x v="0"/>
    <x v="1"/>
    <n v="27439"/>
    <n v="88"/>
    <n v="12"/>
    <n v="787.072"/>
    <n v="210.8"/>
    <n v="7"/>
    <n v="4"/>
    <s v="A|B|C"/>
    <n v="4"/>
    <n v="2"/>
    <n v="2"/>
    <n v="0"/>
    <n v="0"/>
    <n v="8"/>
  </r>
  <r>
    <d v="2026-03-21T00:00:00"/>
    <s v="20/03/2026"/>
    <x v="7"/>
    <x v="3"/>
    <x v="198"/>
    <x v="193"/>
    <x v="7"/>
    <x v="6"/>
    <s v="ARD"/>
    <x v="2"/>
    <x v="1"/>
    <n v="27439"/>
    <n v="51"/>
    <n v="4"/>
    <n v="314.47000000000003"/>
    <n v="98.5"/>
    <n v="20"/>
    <n v="2"/>
    <s v="A|B|C"/>
    <n v="3"/>
    <n v="1"/>
    <n v="1"/>
    <n v="0"/>
    <n v="0"/>
    <n v="5"/>
  </r>
  <r>
    <d v="2026-03-21T00:00:00"/>
    <s v="20/03/2026"/>
    <x v="7"/>
    <x v="1"/>
    <x v="199"/>
    <x v="194"/>
    <x v="7"/>
    <x v="6"/>
    <s v="ARD"/>
    <x v="0"/>
    <x v="1"/>
    <n v="27439"/>
    <n v="46"/>
    <n v="22"/>
    <n v="534.327"/>
    <n v="328.8"/>
    <n v="20"/>
    <n v="6"/>
    <s v="A|B|C"/>
    <n v="5"/>
    <n v="6"/>
    <n v="0"/>
    <n v="0"/>
    <n v="0"/>
    <n v="11"/>
  </r>
  <r>
    <d v="2026-03-21T00:00:00"/>
    <s v="20/03/2026"/>
    <x v="7"/>
    <x v="1"/>
    <x v="116"/>
    <x v="114"/>
    <x v="7"/>
    <x v="6"/>
    <s v="ARD"/>
    <x v="0"/>
    <x v="1"/>
    <n v="27439"/>
    <n v="12"/>
    <n v="12"/>
    <n v="416.346"/>
    <n v="231"/>
    <n v="20"/>
    <n v="4"/>
    <s v="A|B|C"/>
    <n v="2"/>
    <n v="4"/>
    <n v="0"/>
    <n v="0"/>
    <n v="0"/>
    <n v="6"/>
  </r>
  <r>
    <d v="2026-03-21T00:00:00"/>
    <s v="20/03/2026"/>
    <x v="7"/>
    <x v="1"/>
    <x v="47"/>
    <x v="46"/>
    <x v="7"/>
    <x v="6"/>
    <s v="ARD"/>
    <x v="0"/>
    <x v="1"/>
    <n v="27439"/>
    <n v="76"/>
    <n v="22"/>
    <n v="2358.587"/>
    <n v="352"/>
    <n v="19"/>
    <n v="8"/>
    <s v="A|B|C"/>
    <n v="10"/>
    <n v="6"/>
    <n v="3"/>
    <n v="0"/>
    <n v="0"/>
    <n v="19"/>
  </r>
  <r>
    <d v="2026-03-21T00:00:00"/>
    <s v="20/03/2026"/>
    <x v="7"/>
    <x v="0"/>
    <x v="127"/>
    <x v="125"/>
    <x v="7"/>
    <x v="6"/>
    <s v="ARD"/>
    <x v="0"/>
    <x v="2"/>
    <n v="27441"/>
    <n v="5"/>
    <n v="2"/>
    <n v="98.924999999999997"/>
    <n v="56.4"/>
    <n v="0"/>
    <n v="0"/>
    <s v="A|B|C"/>
    <n v="1"/>
    <n v="1"/>
    <n v="1"/>
    <n v="0"/>
    <n v="0"/>
    <n v="3"/>
  </r>
  <r>
    <d v="2026-03-21T00:00:00"/>
    <s v="20/03/2026"/>
    <x v="7"/>
    <x v="0"/>
    <x v="128"/>
    <x v="122"/>
    <x v="7"/>
    <x v="6"/>
    <s v="ARD"/>
    <x v="0"/>
    <x v="2"/>
    <n v="27441"/>
    <n v="5"/>
    <n v="2"/>
    <n v="125.16500000000001"/>
    <n v="52.4"/>
    <n v="20"/>
    <n v="1"/>
    <s v="A|B|C"/>
    <n v="0"/>
    <n v="0"/>
    <n v="0"/>
    <n v="0"/>
    <n v="0"/>
    <n v="0"/>
  </r>
  <r>
    <d v="2026-03-21T00:00:00"/>
    <s v="20/03/2026"/>
    <x v="7"/>
    <x v="0"/>
    <x v="99"/>
    <x v="97"/>
    <x v="7"/>
    <x v="6"/>
    <s v="ARD"/>
    <x v="0"/>
    <x v="2"/>
    <n v="27441"/>
    <n v="12"/>
    <n v="2"/>
    <n v="239.94"/>
    <n v="60"/>
    <n v="30"/>
    <n v="1"/>
    <s v="A|B|C"/>
    <n v="1"/>
    <n v="1"/>
    <n v="0"/>
    <n v="0"/>
    <n v="0"/>
    <n v="2"/>
  </r>
  <r>
    <d v="2026-03-21T00:00:00"/>
    <s v="20/03/2026"/>
    <x v="7"/>
    <x v="0"/>
    <x v="130"/>
    <x v="127"/>
    <x v="7"/>
    <x v="6"/>
    <s v="ARD"/>
    <x v="2"/>
    <x v="2"/>
    <n v="27441"/>
    <n v="100"/>
    <n v="14"/>
    <n v="1393.15"/>
    <n v="309.5"/>
    <n v="20"/>
    <n v="7"/>
    <s v="A|B|C"/>
    <n v="7"/>
    <n v="4"/>
    <n v="6"/>
    <n v="0"/>
    <n v="0"/>
    <n v="17"/>
  </r>
  <r>
    <d v="2026-03-21T00:00:00"/>
    <s v="20/03/2026"/>
    <x v="7"/>
    <x v="0"/>
    <x v="187"/>
    <x v="182"/>
    <x v="7"/>
    <x v="6"/>
    <s v="ARD"/>
    <x v="0"/>
    <x v="2"/>
    <n v="27441"/>
    <n v="29"/>
    <n v="8"/>
    <n v="1727.3230000000001"/>
    <n v="164.08"/>
    <n v="30"/>
    <n v="4"/>
    <s v="A|B|C"/>
    <n v="4"/>
    <n v="2"/>
    <n v="2"/>
    <n v="0"/>
    <n v="0"/>
    <n v="8"/>
  </r>
  <r>
    <d v="2026-03-21T00:00:00"/>
    <s v="20/03/2026"/>
    <x v="7"/>
    <x v="0"/>
    <x v="100"/>
    <x v="98"/>
    <x v="7"/>
    <x v="6"/>
    <s v="ARD"/>
    <x v="0"/>
    <x v="2"/>
    <n v="27441"/>
    <n v="73"/>
    <n v="10"/>
    <n v="2245.328"/>
    <n v="251.1"/>
    <n v="30"/>
    <n v="5"/>
    <s v="A|B|C"/>
    <n v="9"/>
    <n v="1"/>
    <n v="4"/>
    <n v="0"/>
    <n v="0"/>
    <n v="14"/>
  </r>
  <r>
    <d v="2026-03-21T00:00:00"/>
    <s v="20/03/2026"/>
    <x v="7"/>
    <x v="0"/>
    <x v="101"/>
    <x v="99"/>
    <x v="7"/>
    <x v="6"/>
    <s v="ARD"/>
    <x v="0"/>
    <x v="2"/>
    <n v="27441"/>
    <n v="10"/>
    <n v="2"/>
    <n v="280.55500000000001"/>
    <n v="48.8"/>
    <n v="25"/>
    <n v="1"/>
    <s v="A|B|C"/>
    <n v="1"/>
    <n v="1"/>
    <n v="0"/>
    <n v="0"/>
    <n v="0"/>
    <n v="2"/>
  </r>
  <r>
    <d v="2026-03-21T00:00:00"/>
    <s v="20/03/2026"/>
    <x v="7"/>
    <x v="0"/>
    <x v="17"/>
    <x v="16"/>
    <x v="7"/>
    <x v="6"/>
    <s v="ARD"/>
    <x v="0"/>
    <x v="2"/>
    <n v="27441"/>
    <n v="20"/>
    <n v="4"/>
    <n v="783.11"/>
    <n v="101.8"/>
    <n v="30"/>
    <n v="2"/>
    <s v="A|B|C"/>
    <n v="2"/>
    <n v="2"/>
    <n v="2"/>
    <n v="0"/>
    <n v="0"/>
    <n v="6"/>
  </r>
  <r>
    <d v="2026-03-21T00:00:00"/>
    <s v="20/03/2026"/>
    <x v="7"/>
    <x v="0"/>
    <x v="133"/>
    <x v="130"/>
    <x v="7"/>
    <x v="6"/>
    <s v="ARD"/>
    <x v="0"/>
    <x v="2"/>
    <n v="27441"/>
    <n v="60"/>
    <n v="12"/>
    <n v="1638.66"/>
    <n v="208.7"/>
    <n v="30"/>
    <n v="5"/>
    <s v="A|B|C"/>
    <n v="5"/>
    <n v="2"/>
    <n v="3"/>
    <n v="0"/>
    <n v="0"/>
    <n v="10"/>
  </r>
  <r>
    <d v="2026-03-21T00:00:00"/>
    <s v="20/03/2026"/>
    <x v="7"/>
    <x v="0"/>
    <x v="188"/>
    <x v="183"/>
    <x v="7"/>
    <x v="6"/>
    <s v="ARD"/>
    <x v="4"/>
    <x v="2"/>
    <n v="27441"/>
    <n v="16"/>
    <n v="4"/>
    <n v="1246.6479999999999"/>
    <n v="108.5"/>
    <n v="100"/>
    <n v="2"/>
    <s v="A|B|C"/>
    <n v="2"/>
    <n v="2"/>
    <n v="0"/>
    <n v="0"/>
    <n v="0"/>
    <n v="4"/>
  </r>
  <r>
    <d v="2026-03-21T00:00:00"/>
    <s v="20/03/2026"/>
    <x v="7"/>
    <x v="0"/>
    <x v="189"/>
    <x v="184"/>
    <x v="7"/>
    <x v="6"/>
    <s v="ARD"/>
    <x v="4"/>
    <x v="2"/>
    <n v="27441"/>
    <n v="16"/>
    <n v="4"/>
    <n v="1317.664"/>
    <n v="108.8"/>
    <n v="90"/>
    <n v="2"/>
    <s v="A|B|C"/>
    <n v="2"/>
    <n v="2"/>
    <n v="0"/>
    <n v="0"/>
    <n v="0"/>
    <n v="4"/>
  </r>
  <r>
    <d v="2026-03-21T00:00:00"/>
    <s v="20/03/2026"/>
    <x v="7"/>
    <x v="0"/>
    <x v="190"/>
    <x v="185"/>
    <x v="7"/>
    <x v="6"/>
    <s v="ARD"/>
    <x v="4"/>
    <x v="2"/>
    <n v="27441"/>
    <n v="4"/>
    <n v="4"/>
    <n v="542.15200000000004"/>
    <n v="130.80000000000001"/>
    <n v="180"/>
    <n v="1"/>
    <s v="A|B|C"/>
    <n v="1"/>
    <n v="1"/>
    <n v="0"/>
    <n v="0"/>
    <n v="0"/>
    <n v="2"/>
  </r>
  <r>
    <d v="2026-03-21T00:00:00"/>
    <s v="20/03/2026"/>
    <x v="7"/>
    <x v="0"/>
    <x v="139"/>
    <x v="135"/>
    <x v="7"/>
    <x v="6"/>
    <s v="ARD"/>
    <x v="0"/>
    <x v="2"/>
    <n v="27441"/>
    <n v="10"/>
    <n v="4"/>
    <n v="238"/>
    <n v="108.8"/>
    <n v="30"/>
    <n v="2"/>
    <s v="A|B|C"/>
    <n v="1"/>
    <n v="2"/>
    <n v="0"/>
    <n v="0"/>
    <n v="0"/>
    <n v="3"/>
  </r>
  <r>
    <d v="2026-03-21T00:00:00"/>
    <s v="20/03/2026"/>
    <x v="7"/>
    <x v="0"/>
    <x v="23"/>
    <x v="22"/>
    <x v="7"/>
    <x v="6"/>
    <s v="ARD"/>
    <x v="2"/>
    <x v="2"/>
    <n v="27441"/>
    <n v="82"/>
    <n v="12"/>
    <n v="1394.9459999999999"/>
    <n v="310"/>
    <n v="20"/>
    <n v="6"/>
    <s v="A|B|C"/>
    <n v="8"/>
    <n v="3"/>
    <n v="6"/>
    <n v="0"/>
    <n v="0"/>
    <n v="17"/>
  </r>
  <r>
    <d v="2026-03-21T00:00:00"/>
    <s v="20/03/2026"/>
    <x v="7"/>
    <x v="0"/>
    <x v="46"/>
    <x v="45"/>
    <x v="7"/>
    <x v="6"/>
    <s v="ARD"/>
    <x v="0"/>
    <x v="2"/>
    <n v="27441"/>
    <n v="36"/>
    <n v="10"/>
    <n v="624.45399999999995"/>
    <n v="277.60000000000002"/>
    <n v="30"/>
    <n v="5"/>
    <s v="A|B|C"/>
    <n v="2"/>
    <n v="4"/>
    <n v="1"/>
    <n v="0"/>
    <n v="0"/>
    <n v="7"/>
  </r>
  <r>
    <d v="2026-03-21T00:00:00"/>
    <s v="20/03/2026"/>
    <x v="7"/>
    <x v="0"/>
    <x v="103"/>
    <x v="101"/>
    <x v="7"/>
    <x v="6"/>
    <s v="ARD"/>
    <x v="0"/>
    <x v="2"/>
    <n v="27441"/>
    <n v="58"/>
    <n v="14"/>
    <n v="1235.1389999999999"/>
    <n v="289.56200000000001"/>
    <n v="30"/>
    <n v="5"/>
    <s v="A|B|C"/>
    <n v="4"/>
    <n v="5"/>
    <n v="0"/>
    <n v="0"/>
    <n v="0"/>
    <n v="9"/>
  </r>
  <r>
    <d v="2026-03-21T00:00:00"/>
    <s v="20/03/2026"/>
    <x v="7"/>
    <x v="0"/>
    <x v="118"/>
    <x v="116"/>
    <x v="7"/>
    <x v="6"/>
    <s v="ARD"/>
    <x v="0"/>
    <x v="2"/>
    <n v="27441"/>
    <n v="31"/>
    <n v="10"/>
    <n v="486.50200000000001"/>
    <n v="167.262"/>
    <n v="30"/>
    <n v="3"/>
    <s v="A|B|C"/>
    <n v="2"/>
    <n v="3"/>
    <n v="0"/>
    <n v="0"/>
    <n v="0"/>
    <n v="5"/>
  </r>
  <r>
    <d v="2026-03-21T00:00:00"/>
    <s v="20/03/2026"/>
    <x v="7"/>
    <x v="0"/>
    <x v="24"/>
    <x v="23"/>
    <x v="7"/>
    <x v="6"/>
    <s v="ARD"/>
    <x v="0"/>
    <x v="2"/>
    <n v="27441"/>
    <n v="10"/>
    <n v="2"/>
    <n v="225.51499999999999"/>
    <n v="51.8"/>
    <n v="25"/>
    <n v="1"/>
    <s v="A|B|C"/>
    <n v="1"/>
    <n v="0"/>
    <n v="1"/>
    <n v="0"/>
    <n v="0"/>
    <n v="2"/>
  </r>
  <r>
    <d v="2026-03-21T00:00:00"/>
    <s v="20/03/2026"/>
    <x v="7"/>
    <x v="0"/>
    <x v="25"/>
    <x v="24"/>
    <x v="7"/>
    <x v="6"/>
    <s v="ARD"/>
    <x v="0"/>
    <x v="2"/>
    <n v="27441"/>
    <n v="4"/>
    <n v="2"/>
    <n v="94.959000000000003"/>
    <n v="51.1"/>
    <n v="20"/>
    <n v="1"/>
    <s v="A|B|C"/>
    <n v="0"/>
    <n v="1"/>
    <n v="0"/>
    <n v="0"/>
    <n v="0"/>
    <n v="1"/>
  </r>
  <r>
    <d v="2026-03-21T00:00:00"/>
    <s v="20/03/2026"/>
    <x v="7"/>
    <x v="0"/>
    <x v="104"/>
    <x v="102"/>
    <x v="7"/>
    <x v="6"/>
    <s v="ARD"/>
    <x v="0"/>
    <x v="2"/>
    <n v="27441"/>
    <n v="54"/>
    <n v="16"/>
    <n v="1287.7919999999999"/>
    <n v="431.1"/>
    <n v="20"/>
    <n v="8"/>
    <s v="A|B|C"/>
    <n v="3"/>
    <n v="6"/>
    <n v="4"/>
    <n v="0"/>
    <n v="0"/>
    <n v="13"/>
  </r>
  <r>
    <d v="2026-03-21T00:00:00"/>
    <s v="20/03/2026"/>
    <x v="7"/>
    <x v="3"/>
    <x v="192"/>
    <x v="187"/>
    <x v="7"/>
    <x v="6"/>
    <s v="ARD"/>
    <x v="2"/>
    <x v="2"/>
    <n v="27441"/>
    <n v="37"/>
    <n v="6"/>
    <n v="351.22699999999998"/>
    <n v="165.6"/>
    <n v="21"/>
    <n v="3"/>
    <s v="A|B|C"/>
    <n v="2"/>
    <n v="2"/>
    <n v="0"/>
    <n v="0"/>
    <n v="0"/>
    <n v="4"/>
  </r>
  <r>
    <d v="2026-03-21T00:00:00"/>
    <s v="20/03/2026"/>
    <x v="7"/>
    <x v="3"/>
    <x v="193"/>
    <x v="188"/>
    <x v="7"/>
    <x v="6"/>
    <s v="ARD"/>
    <x v="0"/>
    <x v="2"/>
    <n v="27441"/>
    <n v="67"/>
    <n v="6"/>
    <n v="430.07299999999998"/>
    <n v="141.6"/>
    <n v="15"/>
    <n v="3"/>
    <s v="A|B|C"/>
    <n v="2"/>
    <n v="2"/>
    <n v="2"/>
    <n v="0"/>
    <n v="0"/>
    <n v="6"/>
  </r>
  <r>
    <d v="2026-03-22T00:00:00"/>
    <s v="20/03/2026"/>
    <x v="7"/>
    <x v="3"/>
    <x v="197"/>
    <x v="192"/>
    <x v="7"/>
    <x v="6"/>
    <s v="ARD"/>
    <x v="2"/>
    <x v="2"/>
    <n v="27441"/>
    <n v="38"/>
    <n v="8"/>
    <n v="835.58199999999999"/>
    <n v="255.6"/>
    <n v="25"/>
    <n v="4"/>
    <s v="A|B|C"/>
    <n v="4"/>
    <n v="3"/>
    <n v="1"/>
    <n v="0"/>
    <n v="0"/>
    <n v="8"/>
  </r>
  <r>
    <d v="2026-03-22T00:00:00"/>
    <s v="20/03/2026"/>
    <x v="7"/>
    <x v="3"/>
    <x v="152"/>
    <x v="148"/>
    <x v="7"/>
    <x v="6"/>
    <s v="ARD"/>
    <x v="0"/>
    <x v="2"/>
    <n v="27441"/>
    <n v="61"/>
    <n v="10"/>
    <n v="545.58399999999995"/>
    <n v="159"/>
    <n v="10"/>
    <n v="3"/>
    <s v="A|B|C"/>
    <n v="3"/>
    <n v="1"/>
    <n v="2"/>
    <n v="0"/>
    <n v="0"/>
    <n v="6"/>
  </r>
  <r>
    <d v="2026-03-22T00:00:00"/>
    <s v="20/03/2026"/>
    <x v="7"/>
    <x v="3"/>
    <x v="198"/>
    <x v="193"/>
    <x v="7"/>
    <x v="6"/>
    <s v="ARD"/>
    <x v="2"/>
    <x v="2"/>
    <n v="27441"/>
    <n v="33"/>
    <n v="4"/>
    <n v="204.53399999999999"/>
    <n v="98.6"/>
    <n v="32"/>
    <n v="2"/>
    <s v="A|B|C"/>
    <n v="1"/>
    <n v="1"/>
    <n v="1"/>
    <n v="0"/>
    <n v="0"/>
    <n v="3"/>
  </r>
  <r>
    <d v="2026-03-22T00:00:00"/>
    <s v="20/03/2026"/>
    <x v="7"/>
    <x v="1"/>
    <x v="199"/>
    <x v="194"/>
    <x v="7"/>
    <x v="6"/>
    <s v="ARD"/>
    <x v="0"/>
    <x v="2"/>
    <n v="27441"/>
    <n v="36"/>
    <n v="16"/>
    <n v="418.16899999999998"/>
    <n v="220.4"/>
    <n v="25"/>
    <n v="4"/>
    <s v="A|B|C"/>
    <n v="4"/>
    <n v="4"/>
    <n v="0"/>
    <n v="0"/>
    <n v="0"/>
    <n v="8"/>
  </r>
  <r>
    <d v="2026-03-22T00:00:00"/>
    <s v="20/03/2026"/>
    <x v="7"/>
    <x v="1"/>
    <x v="115"/>
    <x v="113"/>
    <x v="7"/>
    <x v="6"/>
    <s v="ARD"/>
    <x v="0"/>
    <x v="2"/>
    <n v="27441"/>
    <n v="7"/>
    <n v="1"/>
    <n v="161.17400000000001"/>
    <n v="25"/>
    <n v="60"/>
    <n v="1"/>
    <s v="A|B|C"/>
    <n v="1"/>
    <n v="1"/>
    <n v="0"/>
    <n v="0"/>
    <n v="0"/>
    <n v="2"/>
  </r>
  <r>
    <d v="2026-03-22T00:00:00"/>
    <s v="20/03/2026"/>
    <x v="7"/>
    <x v="1"/>
    <x v="47"/>
    <x v="46"/>
    <x v="7"/>
    <x v="6"/>
    <s v="ARD"/>
    <x v="0"/>
    <x v="2"/>
    <n v="27441"/>
    <n v="8"/>
    <n v="2"/>
    <n v="248.11099999999999"/>
    <n v="54.4"/>
    <n v="25"/>
    <n v="1"/>
    <s v="A|B|C"/>
    <n v="1"/>
    <n v="0"/>
    <n v="1"/>
    <n v="0"/>
    <n v="0"/>
    <n v="2"/>
  </r>
  <r>
    <d v="2026-03-22T00:00:00"/>
    <s v="20/03/2026"/>
    <x v="7"/>
    <x v="1"/>
    <x v="117"/>
    <x v="115"/>
    <x v="7"/>
    <x v="6"/>
    <s v="ARD"/>
    <x v="0"/>
    <x v="2"/>
    <n v="27441"/>
    <n v="1"/>
    <n v="1"/>
    <n v="29.957000000000001"/>
    <n v="26.5"/>
    <n v="0"/>
    <n v="0"/>
    <s v="A|B|C"/>
    <n v="0"/>
    <n v="0"/>
    <n v="0"/>
    <n v="0"/>
    <n v="0"/>
    <n v="0"/>
  </r>
  <r>
    <d v="2026-03-22T00:00:00"/>
    <s v="20/03/2026"/>
    <x v="7"/>
    <x v="0"/>
    <x v="125"/>
    <x v="123"/>
    <x v="7"/>
    <x v="6"/>
    <s v="ARD"/>
    <x v="0"/>
    <x v="3"/>
    <n v="27442"/>
    <n v="80"/>
    <n v="22"/>
    <n v="1054.7950000000001"/>
    <n v="427.5"/>
    <n v="20"/>
    <n v="8"/>
    <s v="A|B|C"/>
    <n v="9"/>
    <n v="4"/>
    <n v="3"/>
    <n v="0"/>
    <n v="0"/>
    <n v="16"/>
  </r>
  <r>
    <d v="2026-03-22T00:00:00"/>
    <s v="20/03/2026"/>
    <x v="7"/>
    <x v="0"/>
    <x v="127"/>
    <x v="125"/>
    <x v="7"/>
    <x v="6"/>
    <s v="ARD"/>
    <x v="0"/>
    <x v="3"/>
    <n v="27442"/>
    <n v="10"/>
    <n v="5"/>
    <n v="197.85"/>
    <n v="93"/>
    <n v="0"/>
    <n v="0"/>
    <s v="A|B|C"/>
    <n v="0"/>
    <n v="1"/>
    <n v="0"/>
    <n v="0"/>
    <n v="0"/>
    <n v="1"/>
  </r>
  <r>
    <d v="2026-03-22T00:00:00"/>
    <s v="20/03/2026"/>
    <x v="7"/>
    <x v="0"/>
    <x v="128"/>
    <x v="122"/>
    <x v="7"/>
    <x v="6"/>
    <s v="ARD"/>
    <x v="0"/>
    <x v="3"/>
    <n v="27442"/>
    <n v="10"/>
    <n v="5"/>
    <n v="250.33"/>
    <n v="88.7"/>
    <n v="30"/>
    <n v="3"/>
    <s v="A|B|C"/>
    <n v="3"/>
    <n v="1"/>
    <n v="1"/>
    <n v="0"/>
    <n v="0"/>
    <n v="5"/>
  </r>
  <r>
    <d v="2026-03-22T00:00:00"/>
    <s v="20/03/2026"/>
    <x v="7"/>
    <x v="0"/>
    <x v="186"/>
    <x v="181"/>
    <x v="7"/>
    <x v="6"/>
    <s v="ARD"/>
    <x v="0"/>
    <x v="3"/>
    <n v="27442"/>
    <n v="67"/>
    <n v="26"/>
    <n v="1122.5920000000001"/>
    <n v="391.35"/>
    <n v="15"/>
    <n v="6"/>
    <s v="A|B|C"/>
    <n v="6"/>
    <n v="6"/>
    <n v="1"/>
    <n v="0"/>
    <n v="0"/>
    <n v="13"/>
  </r>
  <r>
    <d v="2026-03-22T00:00:00"/>
    <s v="20/03/2026"/>
    <x v="7"/>
    <x v="0"/>
    <x v="130"/>
    <x v="127"/>
    <x v="7"/>
    <x v="6"/>
    <s v="ARD"/>
    <x v="2"/>
    <x v="3"/>
    <n v="27442"/>
    <n v="117"/>
    <n v="18"/>
    <n v="1626.9839999999999"/>
    <n v="354.9"/>
    <n v="15"/>
    <n v="8"/>
    <s v="A|B|C"/>
    <n v="9"/>
    <n v="7"/>
    <n v="4"/>
    <n v="0"/>
    <n v="0"/>
    <n v="20"/>
  </r>
  <r>
    <d v="2026-03-22T00:00:00"/>
    <s v="20/03/2026"/>
    <x v="7"/>
    <x v="0"/>
    <x v="187"/>
    <x v="182"/>
    <x v="7"/>
    <x v="6"/>
    <s v="ARD"/>
    <x v="0"/>
    <x v="3"/>
    <n v="27442"/>
    <n v="36"/>
    <n v="10"/>
    <n v="2113.8090000000002"/>
    <n v="181.44"/>
    <n v="25"/>
    <n v="5"/>
    <s v="A|B|C"/>
    <n v="4"/>
    <n v="5"/>
    <n v="0"/>
    <n v="0"/>
    <n v="0"/>
    <n v="9"/>
  </r>
  <r>
    <d v="2026-03-22T00:00:00"/>
    <s v="20/03/2026"/>
    <x v="7"/>
    <x v="0"/>
    <x v="100"/>
    <x v="98"/>
    <x v="7"/>
    <x v="6"/>
    <s v="ARD"/>
    <x v="0"/>
    <x v="3"/>
    <n v="27442"/>
    <n v="73"/>
    <n v="20"/>
    <n v="2260.1759999999999"/>
    <n v="423.4"/>
    <n v="15"/>
    <n v="8"/>
    <s v="A|B|C"/>
    <n v="8"/>
    <n v="8"/>
    <n v="0"/>
    <n v="0"/>
    <n v="0"/>
    <n v="16"/>
  </r>
  <r>
    <d v="2026-03-22T00:00:00"/>
    <s v="20/03/2026"/>
    <x v="7"/>
    <x v="0"/>
    <x v="101"/>
    <x v="99"/>
    <x v="7"/>
    <x v="6"/>
    <s v="ARD"/>
    <x v="0"/>
    <x v="3"/>
    <n v="27442"/>
    <n v="8"/>
    <n v="2"/>
    <n v="224.44399999999999"/>
    <n v="48.8"/>
    <n v="25"/>
    <n v="1"/>
    <s v="A|B|C"/>
    <n v="1"/>
    <n v="1"/>
    <n v="0"/>
    <n v="0"/>
    <n v="0"/>
    <n v="2"/>
  </r>
  <r>
    <d v="2026-03-22T00:00:00"/>
    <s v="20/03/2026"/>
    <x v="7"/>
    <x v="0"/>
    <x v="19"/>
    <x v="18"/>
    <x v="7"/>
    <x v="6"/>
    <s v="ARD"/>
    <x v="0"/>
    <x v="3"/>
    <n v="27442"/>
    <n v="10"/>
    <n v="4"/>
    <n v="264.80500000000001"/>
    <n v="103.6"/>
    <n v="25"/>
    <n v="2"/>
    <s v="A|B|C"/>
    <n v="1"/>
    <n v="1"/>
    <n v="1"/>
    <n v="0"/>
    <n v="0"/>
    <n v="3"/>
  </r>
  <r>
    <d v="2026-03-22T00:00:00"/>
    <s v="20/03/2026"/>
    <x v="7"/>
    <x v="0"/>
    <x v="133"/>
    <x v="130"/>
    <x v="7"/>
    <x v="6"/>
    <s v="ARD"/>
    <x v="0"/>
    <x v="3"/>
    <n v="27442"/>
    <n v="51"/>
    <n v="18"/>
    <n v="1380.886"/>
    <n v="284.38"/>
    <n v="25"/>
    <n v="6"/>
    <s v="A|B|C"/>
    <n v="8"/>
    <n v="3"/>
    <n v="2"/>
    <n v="0"/>
    <n v="0"/>
    <n v="13"/>
  </r>
  <r>
    <d v="2026-03-22T00:00:00"/>
    <s v="20/03/2026"/>
    <x v="7"/>
    <x v="0"/>
    <x v="188"/>
    <x v="183"/>
    <x v="7"/>
    <x v="6"/>
    <s v="ARD"/>
    <x v="4"/>
    <x v="3"/>
    <n v="27442"/>
    <n v="16"/>
    <n v="6"/>
    <n v="1246.6479999999999"/>
    <n v="108.5"/>
    <n v="95"/>
    <n v="2"/>
    <s v="A|B|C"/>
    <n v="2"/>
    <n v="2"/>
    <n v="0"/>
    <n v="0"/>
    <n v="0"/>
    <n v="4"/>
  </r>
  <r>
    <d v="2026-03-22T00:00:00"/>
    <s v="20/03/2026"/>
    <x v="7"/>
    <x v="0"/>
    <x v="189"/>
    <x v="184"/>
    <x v="7"/>
    <x v="6"/>
    <s v="ARD"/>
    <x v="4"/>
    <x v="3"/>
    <n v="27442"/>
    <n v="18"/>
    <n v="10"/>
    <n v="1482.3720000000001"/>
    <n v="163.19999999999999"/>
    <n v="130"/>
    <n v="3"/>
    <s v="A|B|C"/>
    <n v="2"/>
    <n v="2"/>
    <n v="2"/>
    <n v="0"/>
    <n v="0"/>
    <n v="6"/>
  </r>
  <r>
    <d v="2026-03-22T00:00:00"/>
    <s v="20/03/2026"/>
    <x v="7"/>
    <x v="0"/>
    <x v="190"/>
    <x v="185"/>
    <x v="7"/>
    <x v="6"/>
    <s v="ARD"/>
    <x v="4"/>
    <x v="3"/>
    <n v="27442"/>
    <n v="4"/>
    <n v="4"/>
    <n v="542.15200000000004"/>
    <n v="114.6"/>
    <n v="180"/>
    <n v="1"/>
    <s v="A|B|C"/>
    <n v="1"/>
    <n v="1"/>
    <n v="0"/>
    <n v="0"/>
    <n v="0"/>
    <n v="2"/>
  </r>
  <r>
    <d v="2026-03-22T00:00:00"/>
    <s v="20/03/2026"/>
    <x v="7"/>
    <x v="0"/>
    <x v="58"/>
    <x v="57"/>
    <x v="7"/>
    <x v="6"/>
    <s v="ARD"/>
    <x v="0"/>
    <x v="3"/>
    <n v="27442"/>
    <n v="24"/>
    <n v="16"/>
    <n v="849.64099999999996"/>
    <n v="279.10000000000002"/>
    <n v="35"/>
    <n v="4"/>
    <s v="A|B|C"/>
    <n v="4"/>
    <n v="3"/>
    <n v="1"/>
    <n v="0"/>
    <n v="0"/>
    <n v="8"/>
  </r>
  <r>
    <d v="2026-03-22T00:00:00"/>
    <s v="20/03/2026"/>
    <x v="7"/>
    <x v="0"/>
    <x v="139"/>
    <x v="135"/>
    <x v="7"/>
    <x v="6"/>
    <s v="ARD"/>
    <x v="0"/>
    <x v="3"/>
    <n v="27442"/>
    <n v="12"/>
    <n v="6"/>
    <n v="285.60000000000002"/>
    <n v="121.1"/>
    <n v="30"/>
    <n v="2"/>
    <s v="A|B|C"/>
    <n v="2"/>
    <n v="1"/>
    <n v="1"/>
    <n v="0"/>
    <n v="0"/>
    <n v="4"/>
  </r>
  <r>
    <d v="2026-03-22T00:00:00"/>
    <s v="20/03/2026"/>
    <x v="7"/>
    <x v="0"/>
    <x v="23"/>
    <x v="22"/>
    <x v="7"/>
    <x v="6"/>
    <s v="ARD"/>
    <x v="2"/>
    <x v="3"/>
    <n v="27442"/>
    <n v="87"/>
    <n v="14"/>
    <n v="1479.681"/>
    <n v="361.4"/>
    <n v="15"/>
    <n v="7"/>
    <s v="A|B|C"/>
    <n v="9"/>
    <n v="4"/>
    <n v="7"/>
    <n v="0"/>
    <n v="0"/>
    <n v="20"/>
  </r>
  <r>
    <d v="2026-03-22T00:00:00"/>
    <s v="20/03/2026"/>
    <x v="7"/>
    <x v="0"/>
    <x v="46"/>
    <x v="45"/>
    <x v="7"/>
    <x v="6"/>
    <s v="ARD"/>
    <x v="0"/>
    <x v="3"/>
    <n v="27442"/>
    <n v="74"/>
    <n v="22"/>
    <n v="1287.0319999999999"/>
    <n v="436"/>
    <n v="20"/>
    <n v="8"/>
    <s v="A|B|C"/>
    <n v="9"/>
    <n v="6"/>
    <n v="4"/>
    <n v="0"/>
    <n v="0"/>
    <n v="19"/>
  </r>
  <r>
    <d v="2026-03-22T00:00:00"/>
    <s v="20/03/2026"/>
    <x v="7"/>
    <x v="0"/>
    <x v="103"/>
    <x v="101"/>
    <x v="7"/>
    <x v="6"/>
    <s v="ARD"/>
    <x v="0"/>
    <x v="3"/>
    <n v="27442"/>
    <n v="55"/>
    <n v="14"/>
    <n v="1199.9880000000001"/>
    <n v="304.762"/>
    <n v="25"/>
    <n v="5"/>
    <s v="A|B|C"/>
    <n v="5"/>
    <n v="5"/>
    <n v="0"/>
    <n v="0"/>
    <n v="0"/>
    <n v="10"/>
  </r>
  <r>
    <d v="2026-03-22T00:00:00"/>
    <s v="20/03/2026"/>
    <x v="7"/>
    <x v="0"/>
    <x v="25"/>
    <x v="24"/>
    <x v="7"/>
    <x v="6"/>
    <s v="ARD"/>
    <x v="0"/>
    <x v="3"/>
    <n v="27442"/>
    <n v="8"/>
    <n v="2"/>
    <n v="189.91800000000001"/>
    <n v="51.1"/>
    <n v="20"/>
    <n v="1"/>
    <s v="A|B|C"/>
    <n v="1"/>
    <n v="1"/>
    <n v="0"/>
    <n v="0"/>
    <n v="0"/>
    <n v="2"/>
  </r>
  <r>
    <d v="2026-03-22T00:00:00"/>
    <s v="20/03/2026"/>
    <x v="7"/>
    <x v="0"/>
    <x v="104"/>
    <x v="102"/>
    <x v="7"/>
    <x v="6"/>
    <s v="ARD"/>
    <x v="0"/>
    <x v="3"/>
    <n v="27442"/>
    <n v="6"/>
    <n v="4"/>
    <n v="143.08799999999999"/>
    <n v="82.5"/>
    <n v="20"/>
    <n v="1"/>
    <s v="A|B|C"/>
    <n v="1"/>
    <n v="1"/>
    <n v="0"/>
    <n v="0"/>
    <n v="0"/>
    <n v="2"/>
  </r>
  <r>
    <d v="2026-03-22T00:00:00"/>
    <s v="20/03/2026"/>
    <x v="7"/>
    <x v="7"/>
    <x v="191"/>
    <x v="186"/>
    <x v="7"/>
    <x v="6"/>
    <s v="ARD"/>
    <x v="4"/>
    <x v="3"/>
    <n v="27442"/>
    <n v="24"/>
    <n v="8"/>
    <n v="248.68799999999999"/>
    <n v="133.69999999999999"/>
    <n v="25"/>
    <n v="2"/>
    <s v="A|B|C"/>
    <n v="2"/>
    <n v="2"/>
    <n v="0"/>
    <n v="0"/>
    <n v="0"/>
    <n v="4"/>
  </r>
  <r>
    <d v="2026-03-22T00:00:00"/>
    <s v="20/03/2026"/>
    <x v="7"/>
    <x v="3"/>
    <x v="192"/>
    <x v="187"/>
    <x v="7"/>
    <x v="6"/>
    <s v="ARD"/>
    <x v="2"/>
    <x v="3"/>
    <n v="27442"/>
    <n v="51"/>
    <n v="8"/>
    <n v="487.815"/>
    <n v="173.7"/>
    <n v="15"/>
    <n v="3"/>
    <s v="A|B|C"/>
    <n v="3"/>
    <n v="3"/>
    <n v="0"/>
    <n v="0"/>
    <n v="0"/>
    <n v="6"/>
  </r>
  <r>
    <d v="2026-03-22T00:00:00"/>
    <s v="20/03/2026"/>
    <x v="7"/>
    <x v="3"/>
    <x v="193"/>
    <x v="188"/>
    <x v="7"/>
    <x v="6"/>
    <s v="ARD"/>
    <x v="0"/>
    <x v="3"/>
    <n v="27442"/>
    <n v="87"/>
    <n v="12"/>
    <n v="558.45299999999997"/>
    <n v="204.8"/>
    <n v="10"/>
    <n v="4"/>
    <s v="A|B|C"/>
    <n v="4"/>
    <n v="2"/>
    <n v="2"/>
    <n v="0"/>
    <n v="0"/>
    <n v="8"/>
  </r>
  <r>
    <d v="2026-03-22T00:00:00"/>
    <s v="20/03/2026"/>
    <x v="7"/>
    <x v="3"/>
    <x v="147"/>
    <x v="143"/>
    <x v="7"/>
    <x v="6"/>
    <s v="ARD"/>
    <x v="2"/>
    <x v="3"/>
    <n v="27442"/>
    <n v="65"/>
    <n v="10"/>
    <n v="910.52"/>
    <n v="242"/>
    <n v="8"/>
    <n v="5"/>
    <s v="A|B|C"/>
    <n v="5"/>
    <n v="5"/>
    <n v="0"/>
    <n v="0"/>
    <n v="0"/>
    <n v="10"/>
  </r>
  <r>
    <d v="2026-03-22T00:00:00"/>
    <s v="20/03/2026"/>
    <x v="7"/>
    <x v="3"/>
    <x v="194"/>
    <x v="189"/>
    <x v="7"/>
    <x v="6"/>
    <s v="ARD"/>
    <x v="2"/>
    <x v="3"/>
    <n v="27442"/>
    <n v="67"/>
    <n v="22"/>
    <n v="817.33299999999997"/>
    <n v="375.1"/>
    <n v="10"/>
    <n v="6"/>
    <s v="A|B|C"/>
    <n v="5"/>
    <n v="5"/>
    <n v="1"/>
    <n v="0"/>
    <n v="0"/>
    <n v="11"/>
  </r>
  <r>
    <d v="2026-03-22T00:00:00"/>
    <s v="20/03/2026"/>
    <x v="7"/>
    <x v="3"/>
    <x v="163"/>
    <x v="159"/>
    <x v="7"/>
    <x v="6"/>
    <s v="ARD"/>
    <x v="0"/>
    <x v="3"/>
    <n v="27442"/>
    <n v="52"/>
    <n v="4"/>
    <n v="192.71199999999999"/>
    <n v="52.2"/>
    <n v="24"/>
    <n v="2"/>
    <s v="A|B|C"/>
    <n v="2"/>
    <n v="1"/>
    <n v="1"/>
    <n v="0"/>
    <n v="0"/>
    <n v="4"/>
  </r>
  <r>
    <d v="2026-03-22T00:00:00"/>
    <s v="20/03/2026"/>
    <x v="7"/>
    <x v="3"/>
    <x v="195"/>
    <x v="190"/>
    <x v="7"/>
    <x v="6"/>
    <s v="ARD"/>
    <x v="2"/>
    <x v="3"/>
    <n v="27442"/>
    <n v="68"/>
    <n v="20"/>
    <n v="784.202"/>
    <n v="354.3"/>
    <n v="10"/>
    <n v="6"/>
    <s v="A|B|C"/>
    <n v="9"/>
    <n v="9"/>
    <n v="0"/>
    <n v="0"/>
    <n v="0"/>
    <n v="18"/>
  </r>
  <r>
    <d v="2026-03-22T00:00:00"/>
    <s v="20/03/2026"/>
    <x v="7"/>
    <x v="3"/>
    <x v="196"/>
    <x v="191"/>
    <x v="7"/>
    <x v="6"/>
    <s v="ARD"/>
    <x v="2"/>
    <x v="3"/>
    <n v="27442"/>
    <n v="71"/>
    <n v="25"/>
    <n v="843.298"/>
    <n v="432.22"/>
    <n v="10"/>
    <n v="7"/>
    <s v="A|B|C"/>
    <n v="4"/>
    <n v="4"/>
    <n v="0"/>
    <n v="0"/>
    <n v="0"/>
    <n v="8"/>
  </r>
  <r>
    <d v="2026-03-22T00:00:00"/>
    <s v="20/03/2026"/>
    <x v="7"/>
    <x v="3"/>
    <x v="197"/>
    <x v="192"/>
    <x v="7"/>
    <x v="6"/>
    <s v="ARD"/>
    <x v="2"/>
    <x v="3"/>
    <n v="27442"/>
    <n v="50"/>
    <n v="12"/>
    <n v="1090.5820000000001"/>
    <n v="382.3"/>
    <n v="20"/>
    <n v="6"/>
    <s v="A|B|C"/>
    <n v="7"/>
    <n v="5"/>
    <n v="1"/>
    <n v="0"/>
    <n v="0"/>
    <n v="13"/>
  </r>
  <r>
    <d v="2026-03-22T00:00:00"/>
    <s v="20/03/2026"/>
    <x v="7"/>
    <x v="3"/>
    <x v="152"/>
    <x v="148"/>
    <x v="7"/>
    <x v="6"/>
    <s v="ARD"/>
    <x v="0"/>
    <x v="3"/>
    <n v="27442"/>
    <n v="69"/>
    <n v="12"/>
    <n v="617.13599999999997"/>
    <n v="210.8"/>
    <n v="8"/>
    <n v="4"/>
    <s v="A|B|C"/>
    <n v="3"/>
    <n v="1"/>
    <n v="3"/>
    <n v="0"/>
    <n v="0"/>
    <n v="7"/>
  </r>
  <r>
    <d v="2026-03-22T00:00:00"/>
    <s v="20/03/2026"/>
    <x v="7"/>
    <x v="3"/>
    <x v="198"/>
    <x v="193"/>
    <x v="7"/>
    <x v="6"/>
    <s v="ARD"/>
    <x v="2"/>
    <x v="3"/>
    <n v="27442"/>
    <n v="51"/>
    <n v="4"/>
    <n v="314.47000000000003"/>
    <n v="98.5"/>
    <n v="20"/>
    <n v="2"/>
    <s v="A|B|C"/>
    <n v="3"/>
    <n v="1"/>
    <n v="1"/>
    <n v="0"/>
    <n v="0"/>
    <n v="5"/>
  </r>
  <r>
    <d v="2026-03-22T00:00:00"/>
    <s v="20/03/2026"/>
    <x v="7"/>
    <x v="1"/>
    <x v="199"/>
    <x v="194"/>
    <x v="7"/>
    <x v="6"/>
    <s v="ARD"/>
    <x v="0"/>
    <x v="3"/>
    <n v="27442"/>
    <n v="55"/>
    <n v="26"/>
    <n v="638.68200000000002"/>
    <n v="384.7"/>
    <n v="20"/>
    <n v="7"/>
    <s v="A|B|C"/>
    <n v="6"/>
    <n v="7"/>
    <n v="0"/>
    <n v="0"/>
    <n v="0"/>
    <n v="13"/>
  </r>
  <r>
    <d v="2026-03-22T00:00:00"/>
    <s v="20/03/2026"/>
    <x v="7"/>
    <x v="1"/>
    <x v="115"/>
    <x v="113"/>
    <x v="7"/>
    <x v="6"/>
    <s v="ARD"/>
    <x v="0"/>
    <x v="3"/>
    <n v="27442"/>
    <n v="4"/>
    <n v="2"/>
    <n v="92.546000000000006"/>
    <n v="51.8"/>
    <n v="20"/>
    <n v="1"/>
    <s v="A|B|C"/>
    <n v="0"/>
    <n v="1"/>
    <n v="0"/>
    <n v="0"/>
    <n v="0"/>
    <n v="1"/>
  </r>
  <r>
    <d v="2026-03-22T00:00:00"/>
    <s v="20/03/2026"/>
    <x v="7"/>
    <x v="1"/>
    <x v="116"/>
    <x v="114"/>
    <x v="7"/>
    <x v="6"/>
    <s v="ARD"/>
    <x v="0"/>
    <x v="3"/>
    <n v="27442"/>
    <n v="20"/>
    <n v="20"/>
    <n v="693.91"/>
    <n v="340.4"/>
    <n v="15"/>
    <n v="5"/>
    <s v="A|B|C"/>
    <n v="5"/>
    <n v="2"/>
    <n v="3"/>
    <n v="0"/>
    <n v="0"/>
    <n v="10"/>
  </r>
  <r>
    <d v="2026-03-22T00:00:00"/>
    <s v="20/03/2026"/>
    <x v="7"/>
    <x v="1"/>
    <x v="47"/>
    <x v="46"/>
    <x v="7"/>
    <x v="6"/>
    <s v="ARD"/>
    <x v="0"/>
    <x v="3"/>
    <n v="27442"/>
    <n v="86"/>
    <n v="28"/>
    <n v="2668.7260000000001"/>
    <n v="485.6"/>
    <n v="17"/>
    <n v="10"/>
    <s v="A|B|C"/>
    <n v="10"/>
    <n v="10"/>
    <n v="0"/>
    <n v="0"/>
    <n v="0"/>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0F075-79E4-4344-AE10-81FD36772F1C}" name="PivotTable1" cacheId="57" applyNumberFormats="0" applyBorderFormats="0" applyFontFormats="0" applyPatternFormats="0" applyAlignmentFormats="0" applyWidthHeightFormats="1" dataCaption="Values" updatedVersion="8" minRefreshableVersion="3" showDrill="0" colGrandTotals="0" itemPrintTitles="1" createdVersion="7" indent="0" compact="0" compactData="0" multipleFieldFilters="0">
  <location ref="A4:AO55" firstHeaderRow="1" firstDataRow="3" firstDataCol="5"/>
  <pivotFields count="28">
    <pivotField compact="0" numFmtId="14" outline="0" showAll="0"/>
    <pivotField compact="0" numFmtId="14" outline="0" showAll="0"/>
    <pivotField compact="0" outline="0" showAll="0">
      <items count="15">
        <item x="0"/>
        <item h="1" x="1"/>
        <item h="1" m="1" x="9"/>
        <item h="1" m="1" x="12"/>
        <item h="1" x="2"/>
        <item h="1" m="1" x="13"/>
        <item h="1" x="3"/>
        <item h="1" x="4"/>
        <item h="1" x="5"/>
        <item h="1" m="1" x="10"/>
        <item h="1" x="6"/>
        <item h="1" m="1" x="11"/>
        <item h="1" x="7"/>
        <item h="1" m="1" x="8"/>
        <item t="default"/>
      </items>
    </pivotField>
    <pivotField axis="axisRow" compact="0" outline="0" showAll="0" defaultSubtotal="0">
      <items count="19">
        <item m="1" x="13"/>
        <item x="0"/>
        <item x="1"/>
        <item x="3"/>
        <item x="4"/>
        <item x="9"/>
        <item x="7"/>
        <item x="5"/>
        <item x="6"/>
        <item x="8"/>
        <item m="1" x="16"/>
        <item m="1" x="17"/>
        <item m="1" x="18"/>
        <item m="1" x="14"/>
        <item m="1" x="15"/>
        <item m="1" x="12"/>
        <item m="1" x="11"/>
        <item x="2"/>
        <item x="10"/>
      </items>
    </pivotField>
    <pivotField name="Routes" axis="axisRow" compact="0" outline="0" showAll="0" sortType="ascending" defaultSubtotal="0">
      <items count="228">
        <item x="96"/>
        <item x="164"/>
        <item x="120"/>
        <item x="0"/>
        <item x="121"/>
        <item x="97"/>
        <item x="1"/>
        <item x="124"/>
        <item m="1" x="200"/>
        <item x="125"/>
        <item x="126"/>
        <item x="4"/>
        <item x="5"/>
        <item x="165"/>
        <item x="166"/>
        <item m="1" x="225"/>
        <item m="1" x="203"/>
        <item x="8"/>
        <item x="129"/>
        <item x="9"/>
        <item x="167"/>
        <item x="186"/>
        <item x="99"/>
        <item x="130"/>
        <item x="131"/>
        <item x="187"/>
        <item x="10"/>
        <item x="101"/>
        <item x="102"/>
        <item x="15"/>
        <item x="16"/>
        <item x="17"/>
        <item x="132"/>
        <item x="18"/>
        <item x="19"/>
        <item x="57"/>
        <item x="133"/>
        <item m="1" x="202"/>
        <item x="20"/>
        <item x="188"/>
        <item x="189"/>
        <item x="190"/>
        <item x="21"/>
        <item x="135"/>
        <item x="58"/>
        <item x="59"/>
        <item x="22"/>
        <item x="138"/>
        <item x="139"/>
        <item m="1" x="201"/>
        <item x="61"/>
        <item x="94"/>
        <item x="62"/>
        <item x="51"/>
        <item x="52"/>
        <item x="53"/>
        <item x="122"/>
        <item x="54"/>
        <item x="55"/>
        <item x="56"/>
        <item x="123"/>
        <item m="1" x="217"/>
        <item m="1" x="216"/>
        <item m="1" x="222"/>
        <item m="1" x="219"/>
        <item m="1" x="226"/>
        <item m="1" x="213"/>
        <item m="1" x="209"/>
        <item m="1" x="218"/>
        <item m="1" x="211"/>
        <item m="1" x="210"/>
        <item m="1" x="208"/>
        <item m="1" x="207"/>
        <item m="1" x="206"/>
        <item m="1" x="205"/>
        <item m="1" x="204"/>
        <item m="1" x="227"/>
        <item x="11"/>
        <item m="1" x="224"/>
        <item m="1" x="223"/>
        <item m="1" x="221"/>
        <item x="12"/>
        <item m="1" x="220"/>
        <item m="1" x="215"/>
        <item m="1" x="214"/>
        <item m="1" x="212"/>
        <item x="98"/>
        <item x="2"/>
        <item x="3"/>
        <item x="6"/>
        <item x="7"/>
        <item x="127"/>
        <item x="128"/>
        <item x="100"/>
        <item x="13"/>
        <item x="14"/>
        <item x="168"/>
        <item x="169"/>
        <item x="134"/>
        <item x="136"/>
        <item x="137"/>
        <item x="140"/>
        <item x="141"/>
        <item x="60"/>
        <item x="142"/>
        <item x="23"/>
        <item x="46"/>
        <item x="103"/>
        <item x="118"/>
        <item x="24"/>
        <item x="25"/>
        <item x="26"/>
        <item x="27"/>
        <item x="104"/>
        <item x="105"/>
        <item x="191"/>
        <item x="63"/>
        <item x="143"/>
        <item x="64"/>
        <item x="65"/>
        <item x="170"/>
        <item x="66"/>
        <item x="171"/>
        <item x="172"/>
        <item x="173"/>
        <item x="106"/>
        <item x="174"/>
        <item x="119"/>
        <item x="107"/>
        <item x="108"/>
        <item x="175"/>
        <item x="176"/>
        <item x="48"/>
        <item x="109"/>
        <item x="177"/>
        <item x="178"/>
        <item x="28"/>
        <item x="29"/>
        <item x="50"/>
        <item x="30"/>
        <item x="31"/>
        <item x="32"/>
        <item x="33"/>
        <item x="49"/>
        <item x="110"/>
        <item x="144"/>
        <item x="34"/>
        <item x="192"/>
        <item x="193"/>
        <item x="145"/>
        <item x="146"/>
        <item x="147"/>
        <item x="148"/>
        <item x="194"/>
        <item x="163"/>
        <item x="195"/>
        <item x="196"/>
        <item x="149"/>
        <item x="111"/>
        <item x="35"/>
        <item x="112"/>
        <item x="113"/>
        <item x="36"/>
        <item x="197"/>
        <item x="150"/>
        <item x="151"/>
        <item x="152"/>
        <item x="198"/>
        <item x="153"/>
        <item x="154"/>
        <item x="67"/>
        <item x="155"/>
        <item x="156"/>
        <item x="68"/>
        <item x="157"/>
        <item x="158"/>
        <item x="159"/>
        <item x="69"/>
        <item x="37"/>
        <item x="38"/>
        <item x="160"/>
        <item x="70"/>
        <item x="71"/>
        <item x="72"/>
        <item x="73"/>
        <item x="74"/>
        <item x="75"/>
        <item x="76"/>
        <item x="77"/>
        <item x="78"/>
        <item x="79"/>
        <item x="80"/>
        <item x="81"/>
        <item x="82"/>
        <item x="83"/>
        <item x="84"/>
        <item x="39"/>
        <item x="40"/>
        <item x="41"/>
        <item x="42"/>
        <item x="43"/>
        <item x="114"/>
        <item x="179"/>
        <item x="180"/>
        <item x="181"/>
        <item x="182"/>
        <item x="161"/>
        <item x="85"/>
        <item x="86"/>
        <item x="87"/>
        <item x="88"/>
        <item x="89"/>
        <item x="90"/>
        <item x="183"/>
        <item x="91"/>
        <item x="162"/>
        <item x="184"/>
        <item x="185"/>
        <item x="199"/>
        <item x="115"/>
        <item x="116"/>
        <item x="47"/>
        <item x="44"/>
        <item x="117"/>
        <item x="45"/>
        <item x="92"/>
        <item x="93"/>
        <item x="95"/>
      </items>
      <extLst>
        <ext xmlns:x14="http://schemas.microsoft.com/office/spreadsheetml/2009/9/main" uri="{2946ED86-A175-432a-8AC1-64E0C546D7DE}">
          <x14:pivotField fillDownLabels="1"/>
        </ext>
      </extLst>
    </pivotField>
    <pivotField axis="axisRow" compact="0" outline="0" showAll="0" defaultSubtotal="0">
      <items count="304">
        <item x="105"/>
        <item m="1" x="247"/>
        <item m="1" x="197"/>
        <item x="22"/>
        <item m="1" x="255"/>
        <item x="0"/>
        <item m="1" x="219"/>
        <item x="103"/>
        <item x="44"/>
        <item x="71"/>
        <item x="166"/>
        <item x="169"/>
        <item x="183"/>
        <item x="124"/>
        <item m="1" x="210"/>
        <item x="122"/>
        <item m="1" x="225"/>
        <item m="1" x="220"/>
        <item x="15"/>
        <item x="90"/>
        <item x="119"/>
        <item m="1" x="272"/>
        <item x="184"/>
        <item m="1" x="231"/>
        <item m="1" x="217"/>
        <item m="1" x="208"/>
        <item m="1" x="199"/>
        <item x="135"/>
        <item m="1" x="237"/>
        <item x="130"/>
        <item m="1" x="227"/>
        <item x="148"/>
        <item m="1" x="253"/>
        <item x="140"/>
        <item x="45"/>
        <item m="1" x="209"/>
        <item x="58"/>
        <item m="1" x="279"/>
        <item x="109"/>
        <item x="138"/>
        <item x="60"/>
        <item m="1" x="223"/>
        <item x="131"/>
        <item x="98"/>
        <item x="93"/>
        <item x="114"/>
        <item m="1" x="221"/>
        <item x="112"/>
        <item x="11"/>
        <item x="1"/>
        <item x="32"/>
        <item m="1" x="242"/>
        <item x="39"/>
        <item x="38"/>
        <item x="10"/>
        <item x="29"/>
        <item x="31"/>
        <item m="1" x="266"/>
        <item m="1" x="258"/>
        <item m="1" x="233"/>
        <item m="1" x="269"/>
        <item m="1" x="245"/>
        <item m="1" x="303"/>
        <item m="1" x="282"/>
        <item m="1" x="256"/>
        <item m="1" x="250"/>
        <item m="1" x="249"/>
        <item x="23"/>
        <item x="18"/>
        <item x="6"/>
        <item x="102"/>
        <item m="1" x="198"/>
        <item x="190"/>
        <item x="191"/>
        <item x="142"/>
        <item x="145"/>
        <item x="156"/>
        <item x="56"/>
        <item x="74"/>
        <item x="78"/>
        <item x="79"/>
        <item x="75"/>
        <item x="117"/>
        <item x="7"/>
        <item x="21"/>
        <item m="1" x="214"/>
        <item x="67"/>
        <item x="77"/>
        <item x="76"/>
        <item x="89"/>
        <item m="1" x="298"/>
        <item x="108"/>
        <item x="66"/>
        <item x="186"/>
        <item x="182"/>
        <item x="141"/>
        <item x="85"/>
        <item x="86"/>
        <item x="193"/>
        <item x="70"/>
        <item x="48"/>
        <item x="173"/>
        <item x="100"/>
        <item x="49"/>
        <item x="172"/>
        <item x="13"/>
        <item x="187"/>
        <item m="1" x="201"/>
        <item x="170"/>
        <item m="1" x="281"/>
        <item x="116"/>
        <item x="96"/>
        <item x="2"/>
        <item m="1" x="195"/>
        <item x="14"/>
        <item x="94"/>
        <item m="1" x="274"/>
        <item m="1" x="238"/>
        <item m="1" x="200"/>
        <item x="19"/>
        <item m="1" x="291"/>
        <item m="1" x="207"/>
        <item m="1" x="226"/>
        <item x="25"/>
        <item x="24"/>
        <item x="176"/>
        <item x="65"/>
        <item m="1" x="294"/>
        <item x="72"/>
        <item x="69"/>
        <item x="63"/>
        <item m="1" x="211"/>
        <item m="1" x="271"/>
        <item x="84"/>
        <item m="1" x="270"/>
        <item m="1" x="212"/>
        <item x="113"/>
        <item m="1" x="222"/>
        <item m="1" x="239"/>
        <item m="1" x="296"/>
        <item m="1" x="280"/>
        <item m="1" x="295"/>
        <item m="1" x="297"/>
        <item m="1" x="268"/>
        <item m="1" x="267"/>
        <item m="1" x="301"/>
        <item x="152"/>
        <item x="154"/>
        <item x="150"/>
        <item x="157"/>
        <item x="120"/>
        <item x="155"/>
        <item x="153"/>
        <item x="151"/>
        <item m="1" x="286"/>
        <item m="1" x="244"/>
        <item m="1" x="289"/>
        <item m="1" x="285"/>
        <item m="1" x="243"/>
        <item m="1" x="302"/>
        <item x="126"/>
        <item x="181"/>
        <item x="42"/>
        <item m="1" x="230"/>
        <item x="159"/>
        <item m="1" x="278"/>
        <item x="26"/>
        <item x="88"/>
        <item m="1" x="204"/>
        <item m="1" x="203"/>
        <item m="1" x="205"/>
        <item m="1" x="202"/>
        <item m="1" x="287"/>
        <item m="1" x="299"/>
        <item m="1" x="261"/>
        <item m="1" x="283"/>
        <item m="1" x="273"/>
        <item m="1" x="290"/>
        <item m="1" x="292"/>
        <item m="1" x="257"/>
        <item m="1" x="277"/>
        <item m="1" x="254"/>
        <item m="1" x="264"/>
        <item m="1" x="228"/>
        <item m="1" x="236"/>
        <item m="1" x="240"/>
        <item m="1" x="284"/>
        <item m="1" x="300"/>
        <item m="1" x="288"/>
        <item m="1" x="259"/>
        <item m="1" x="248"/>
        <item m="1" x="260"/>
        <item m="1" x="252"/>
        <item m="1" x="241"/>
        <item m="1" x="196"/>
        <item m="1" x="275"/>
        <item m="1" x="263"/>
        <item m="1" x="293"/>
        <item m="1" x="251"/>
        <item m="1" x="265"/>
        <item x="50"/>
        <item m="1" x="246"/>
        <item x="52"/>
        <item x="53"/>
        <item m="1" x="276"/>
        <item m="1" x="262"/>
        <item x="95"/>
        <item x="3"/>
        <item x="5"/>
        <item x="8"/>
        <item x="163"/>
        <item x="17"/>
        <item x="28"/>
        <item x="33"/>
        <item m="1" x="206"/>
        <item x="178"/>
        <item x="12"/>
        <item x="51"/>
        <item x="54"/>
        <item m="1" x="213"/>
        <item x="64"/>
        <item x="68"/>
        <item x="73"/>
        <item x="80"/>
        <item m="1" x="215"/>
        <item m="1" x="216"/>
        <item m="1" x="218"/>
        <item m="1" x="224"/>
        <item x="129"/>
        <item x="139"/>
        <item x="143"/>
        <item x="144"/>
        <item m="1" x="229"/>
        <item x="149"/>
        <item x="158"/>
        <item x="161"/>
        <item m="1" x="232"/>
        <item x="167"/>
        <item x="104"/>
        <item x="107"/>
        <item m="1" x="234"/>
        <item x="175"/>
        <item x="177"/>
        <item x="179"/>
        <item m="1" x="235"/>
        <item x="16"/>
        <item x="185"/>
        <item x="189"/>
        <item x="194"/>
        <item x="4"/>
        <item x="9"/>
        <item x="20"/>
        <item x="27"/>
        <item x="30"/>
        <item x="34"/>
        <item x="35"/>
        <item x="36"/>
        <item x="37"/>
        <item x="40"/>
        <item x="41"/>
        <item x="43"/>
        <item x="46"/>
        <item x="57"/>
        <item x="59"/>
        <item x="61"/>
        <item x="62"/>
        <item x="81"/>
        <item x="82"/>
        <item x="83"/>
        <item x="87"/>
        <item x="91"/>
        <item x="92"/>
        <item x="99"/>
        <item x="115"/>
        <item x="118"/>
        <item x="121"/>
        <item x="125"/>
        <item x="97"/>
        <item x="128"/>
        <item x="132"/>
        <item x="146"/>
        <item x="147"/>
        <item x="123"/>
        <item x="160"/>
        <item x="162"/>
        <item x="164"/>
        <item x="165"/>
        <item x="168"/>
        <item x="106"/>
        <item x="174"/>
        <item x="110"/>
        <item x="111"/>
        <item x="180"/>
        <item x="127"/>
        <item x="101"/>
        <item x="188"/>
        <item x="192"/>
        <item x="47"/>
        <item x="55"/>
        <item x="133"/>
        <item x="134"/>
        <item x="136"/>
        <item x="137"/>
        <item x="171"/>
      </items>
      <extLst>
        <ext xmlns:x14="http://schemas.microsoft.com/office/spreadsheetml/2009/9/main" uri="{2946ED86-A175-432a-8AC1-64E0C546D7DE}">
          <x14:pivotField fillDownLabels="1"/>
        </ext>
      </extLst>
    </pivotField>
    <pivotField name="Depot" compact="0" outline="0" multipleItemSelectionAllowed="1" showAll="0" defaultSubtotal="0">
      <items count="18">
        <item x="4"/>
        <item x="0"/>
        <item m="1" x="9"/>
        <item x="1"/>
        <item x="6"/>
        <item x="3"/>
        <item m="1" x="10"/>
        <item x="5"/>
        <item m="1" x="12"/>
        <item x="2"/>
        <item m="1" x="15"/>
        <item m="1" x="17"/>
        <item x="7"/>
        <item m="1" x="11"/>
        <item m="1" x="8"/>
        <item m="1" x="16"/>
        <item m="1" x="13"/>
        <item m="1" x="14"/>
      </items>
      <extLst>
        <ext xmlns:x14="http://schemas.microsoft.com/office/spreadsheetml/2009/9/main" uri="{2946ED86-A175-432a-8AC1-64E0C546D7DE}">
          <x14:pivotField fillDownLabels="1"/>
        </ext>
      </extLst>
    </pivotField>
    <pivotField axis="axisRow" compact="0" outline="0" showAll="0" defaultSubtotal="0">
      <items count="13">
        <item m="1" x="12"/>
        <item x="0"/>
        <item x="5"/>
        <item x="3"/>
        <item x="2"/>
        <item x="6"/>
        <item m="1" x="10"/>
        <item m="1" x="9"/>
        <item m="1" x="11"/>
        <item m="1" x="8"/>
        <item x="4"/>
        <item m="1" x="7"/>
        <item x="1"/>
      </items>
      <extLst>
        <ext xmlns:x14="http://schemas.microsoft.com/office/spreadsheetml/2009/9/main" uri="{2946ED86-A175-432a-8AC1-64E0C546D7DE}">
          <x14:pivotField fillDownLabels="1"/>
        </ext>
      </extLst>
    </pivotField>
    <pivotField compact="0" outline="0" showAll="0"/>
    <pivotField name="Veh Type" axis="axisRow" compact="0" outline="0" showAll="0" defaultSubtotal="0">
      <items count="12">
        <item x="2"/>
        <item x="4"/>
        <item x="1"/>
        <item x="0"/>
        <item x="3"/>
        <item m="1" x="7"/>
        <item m="1" x="11"/>
        <item m="1" x="10"/>
        <item m="1" x="8"/>
        <item m="1" x="9"/>
        <item m="1" x="6"/>
        <item x="5"/>
      </items>
      <extLst>
        <ext xmlns:x14="http://schemas.microsoft.com/office/spreadsheetml/2009/9/main" uri="{2946ED86-A175-432a-8AC1-64E0C546D7DE}">
          <x14:pivotField fillDownLabels="1"/>
        </ext>
      </extLst>
    </pivotField>
    <pivotField name="." axis="axisCol" compact="0" outline="0" showAll="0">
      <items count="15">
        <item m="1" x="13"/>
        <item m="1" x="10"/>
        <item m="1" x="11"/>
        <item x="3"/>
        <item x="0"/>
        <item x="1"/>
        <item x="2"/>
        <item x="4"/>
        <item m="1" x="12"/>
        <item m="1" x="6"/>
        <item m="1" x="8"/>
        <item x="5"/>
        <item m="1" x="7"/>
        <item m="1" x="9"/>
        <item t="default"/>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5">
    <field x="4"/>
    <field x="5"/>
    <field x="3"/>
    <field x="7"/>
    <field x="9"/>
  </rowFields>
  <rowItems count="49">
    <i>
      <x v="3"/>
      <x v="5"/>
      <x v="1"/>
      <x v="1"/>
      <x v="3"/>
    </i>
    <i>
      <x v="6"/>
      <x v="49"/>
      <x v="1"/>
      <x v="1"/>
      <x v="2"/>
    </i>
    <i>
      <x v="11"/>
      <x v="207"/>
      <x v="1"/>
      <x v="1"/>
      <x v="2"/>
    </i>
    <i>
      <x v="12"/>
      <x v="249"/>
      <x v="1"/>
      <x v="1"/>
      <x v="2"/>
    </i>
    <i>
      <x v="17"/>
      <x v="83"/>
      <x v="1"/>
      <x v="1"/>
      <x v="3"/>
    </i>
    <i>
      <x v="19"/>
      <x v="209"/>
      <x v="1"/>
      <x v="1"/>
      <x/>
    </i>
    <i>
      <x v="26"/>
      <x v="250"/>
      <x v="1"/>
      <x v="1"/>
      <x v="2"/>
    </i>
    <i>
      <x v="29"/>
      <x v="114"/>
      <x v="1"/>
      <x v="1"/>
      <x v="3"/>
    </i>
    <i>
      <x v="30"/>
      <x v="18"/>
      <x v="1"/>
      <x v="1"/>
      <x v="3"/>
    </i>
    <i>
      <x v="31"/>
      <x v="245"/>
      <x v="1"/>
      <x v="1"/>
      <x v="3"/>
    </i>
    <i>
      <x v="33"/>
      <x v="211"/>
      <x v="1"/>
      <x v="1"/>
      <x v="3"/>
    </i>
    <i>
      <x v="34"/>
      <x v="68"/>
      <x v="1"/>
      <x v="1"/>
      <x v="3"/>
    </i>
    <i>
      <x v="38"/>
      <x v="119"/>
      <x v="1"/>
      <x v="1"/>
      <x v="4"/>
    </i>
    <i>
      <x v="42"/>
      <x v="251"/>
      <x v="1"/>
      <x v="1"/>
      <x v="3"/>
    </i>
    <i>
      <x v="46"/>
      <x v="84"/>
      <x v="1"/>
      <x v="1"/>
      <x v="3"/>
    </i>
    <i>
      <x v="77"/>
      <x v="54"/>
      <x v="1"/>
      <x v="1"/>
      <x v="3"/>
    </i>
    <i>
      <x v="81"/>
      <x v="48"/>
      <x v="1"/>
      <x v="1"/>
      <x v="3"/>
    </i>
    <i>
      <x v="87"/>
      <x v="112"/>
      <x v="2"/>
      <x v="1"/>
      <x v="3"/>
    </i>
    <i>
      <x v="88"/>
      <x v="112"/>
      <x v="1"/>
      <x v="1"/>
      <x/>
    </i>
    <i>
      <x v="89"/>
      <x v="208"/>
      <x v="1"/>
      <x v="1"/>
      <x v="3"/>
    </i>
    <i>
      <x v="90"/>
      <x v="69"/>
      <x v="1"/>
      <x v="1"/>
      <x v="3"/>
    </i>
    <i>
      <x v="94"/>
      <x v="216"/>
      <x v="1"/>
      <x v="1"/>
      <x v="3"/>
    </i>
    <i>
      <x v="95"/>
      <x v="105"/>
      <x v="1"/>
      <x v="1"/>
      <x v="3"/>
    </i>
    <i>
      <x v="105"/>
      <x v="3"/>
      <x v="1"/>
      <x v="1"/>
      <x/>
    </i>
    <i>
      <x v="106"/>
      <x v="34"/>
      <x v="1"/>
      <x v="1"/>
      <x v="3"/>
    </i>
    <i>
      <x v="109"/>
      <x v="67"/>
      <x v="1"/>
      <x v="1"/>
      <x v="3"/>
    </i>
    <i>
      <x v="110"/>
      <x v="124"/>
      <x v="1"/>
      <x v="1"/>
      <x v="3"/>
    </i>
    <i>
      <x v="111"/>
      <x v="123"/>
      <x v="1"/>
      <x v="1"/>
      <x v="2"/>
    </i>
    <i>
      <x v="112"/>
      <x v="166"/>
      <x v="1"/>
      <x v="1"/>
      <x v="3"/>
    </i>
    <i>
      <x v="136"/>
      <x v="252"/>
      <x v="17"/>
      <x v="1"/>
      <x v="3"/>
    </i>
    <i>
      <x v="137"/>
      <x v="212"/>
      <x v="3"/>
      <x v="1"/>
      <x v="3"/>
    </i>
    <i>
      <x v="139"/>
      <x v="55"/>
      <x v="3"/>
      <x v="1"/>
      <x v="3"/>
    </i>
    <i>
      <x v="140"/>
      <x v="253"/>
      <x v="3"/>
      <x v="1"/>
      <x v="3"/>
    </i>
    <i>
      <x v="141"/>
      <x v="56"/>
      <x v="3"/>
      <x v="1"/>
      <x v="2"/>
    </i>
    <i>
      <x v="142"/>
      <x v="50"/>
      <x v="3"/>
      <x v="1"/>
      <x v="2"/>
    </i>
    <i>
      <x v="146"/>
      <x v="213"/>
      <x v="3"/>
      <x v="1"/>
      <x v="3"/>
    </i>
    <i>
      <x v="159"/>
      <x v="254"/>
      <x v="3"/>
      <x v="1"/>
      <x v="4"/>
    </i>
    <i>
      <x v="162"/>
      <x v="255"/>
      <x v="3"/>
      <x v="1"/>
      <x v="4"/>
    </i>
    <i>
      <x v="178"/>
      <x v="256"/>
      <x v="3"/>
      <x v="1"/>
      <x v="3"/>
    </i>
    <i>
      <x v="179"/>
      <x v="257"/>
      <x v="3"/>
      <x v="1"/>
      <x v="2"/>
    </i>
    <i>
      <x v="196"/>
      <x v="53"/>
      <x v="3"/>
      <x v="1"/>
      <x v="3"/>
    </i>
    <i>
      <x v="197"/>
      <x v="52"/>
      <x v="3"/>
      <x v="1"/>
      <x v="3"/>
    </i>
    <i>
      <x v="198"/>
      <x v="258"/>
      <x v="3"/>
      <x v="1"/>
      <x v="3"/>
    </i>
    <i>
      <x v="199"/>
      <x v="259"/>
      <x v="3"/>
      <x v="1"/>
      <x v="3"/>
    </i>
    <i>
      <x v="200"/>
      <x v="162"/>
      <x v="3"/>
      <x v="1"/>
      <x v="2"/>
    </i>
    <i>
      <x v="221"/>
      <x v="261"/>
      <x v="2"/>
      <x v="1"/>
      <x v="3"/>
    </i>
    <i>
      <x v="222"/>
      <x v="260"/>
      <x v="2"/>
      <x v="1"/>
      <x v="4"/>
    </i>
    <i>
      <x v="224"/>
      <x v="8"/>
      <x v="2"/>
      <x v="1"/>
      <x v="3"/>
    </i>
    <i t="grand">
      <x/>
    </i>
  </rowItems>
  <colFields count="2">
    <field x="10"/>
    <field x="-2"/>
  </colFields>
  <colItems count="36">
    <i>
      <x v="3"/>
      <x/>
    </i>
    <i r="1" i="1">
      <x v="1"/>
    </i>
    <i r="1" i="2">
      <x v="2"/>
    </i>
    <i r="1" i="3">
      <x v="3"/>
    </i>
    <i r="1" i="4">
      <x v="4"/>
    </i>
    <i r="1" i="5">
      <x v="5"/>
    </i>
    <i r="1" i="6">
      <x v="6"/>
    </i>
    <i r="1" i="7">
      <x v="7"/>
    </i>
    <i r="1" i="8">
      <x v="8"/>
    </i>
    <i>
      <x v="4"/>
      <x/>
    </i>
    <i r="1" i="1">
      <x v="1"/>
    </i>
    <i r="1" i="2">
      <x v="2"/>
    </i>
    <i r="1" i="3">
      <x v="3"/>
    </i>
    <i r="1" i="4">
      <x v="4"/>
    </i>
    <i r="1" i="5">
      <x v="5"/>
    </i>
    <i r="1" i="6">
      <x v="6"/>
    </i>
    <i r="1" i="7">
      <x v="7"/>
    </i>
    <i r="1" i="8">
      <x v="8"/>
    </i>
    <i>
      <x v="5"/>
      <x/>
    </i>
    <i r="1" i="1">
      <x v="1"/>
    </i>
    <i r="1" i="2">
      <x v="2"/>
    </i>
    <i r="1" i="3">
      <x v="3"/>
    </i>
    <i r="1" i="4">
      <x v="4"/>
    </i>
    <i r="1" i="5">
      <x v="5"/>
    </i>
    <i r="1" i="6">
      <x v="6"/>
    </i>
    <i r="1" i="7">
      <x v="7"/>
    </i>
    <i r="1" i="8">
      <x v="8"/>
    </i>
    <i>
      <x v="6"/>
      <x/>
    </i>
    <i r="1" i="1">
      <x v="1"/>
    </i>
    <i r="1" i="2">
      <x v="2"/>
    </i>
    <i r="1" i="3">
      <x v="3"/>
    </i>
    <i r="1" i="4">
      <x v="4"/>
    </i>
    <i r="1" i="5">
      <x v="5"/>
    </i>
    <i r="1" i="6">
      <x v="6"/>
    </i>
    <i r="1" i="7">
      <x v="7"/>
    </i>
    <i r="1" i="8">
      <x v="8"/>
    </i>
  </colItems>
  <dataFields count="9">
    <dataField name="Rev Trip" fld="12" subtotal="max" baseField="2" baseItem="0"/>
    <dataField name="Nrev Trip" fld="13" subtotal="max" baseField="6" baseItem="2"/>
    <dataField name="Total Trip" fld="26" baseField="6" baseItem="3"/>
    <dataField name="Rev KM" fld="14" subtotal="average" baseField="6" baseItem="2" numFmtId="3"/>
    <dataField name="Dead KM" fld="15" baseField="6" baseItem="2" numFmtId="3"/>
    <dataField name="Total KM" fld="27" baseField="6" baseItem="3" numFmtId="3"/>
    <dataField name="rte freq" fld="16" subtotal="max" baseField="6" baseItem="2"/>
    <dataField name="PVR" fld="17" subtotal="max" baseField="6" baseItem="3"/>
    <dataField name="Duty" fld="24" baseField="0" baseItem="0"/>
  </dataFields>
  <formats count="121">
    <format dxfId="364">
      <pivotArea dataOnly="0" labelOnly="1" outline="0" fieldPosition="0">
        <references count="1">
          <reference field="10" count="1">
            <x v="5"/>
          </reference>
        </references>
      </pivotArea>
    </format>
    <format dxfId="363">
      <pivotArea dataOnly="0" labelOnly="1" outline="0" fieldPosition="0">
        <references count="1">
          <reference field="10" count="1">
            <x v="5"/>
          </reference>
        </references>
      </pivotArea>
    </format>
    <format dxfId="362">
      <pivotArea dataOnly="0" labelOnly="1" outline="0" fieldPosition="0">
        <references count="1">
          <reference field="10" count="1">
            <x v="5"/>
          </reference>
        </references>
      </pivotArea>
    </format>
    <format dxfId="361">
      <pivotArea dataOnly="0" labelOnly="1" outline="0" fieldPosition="0">
        <references count="1">
          <reference field="10" count="1">
            <x v="8"/>
          </reference>
        </references>
      </pivotArea>
    </format>
    <format dxfId="360">
      <pivotArea dataOnly="0" labelOnly="1" outline="0" fieldPosition="0">
        <references count="1">
          <reference field="10" count="1">
            <x v="11"/>
          </reference>
        </references>
      </pivotArea>
    </format>
    <format dxfId="359">
      <pivotArea dataOnly="0" labelOnly="1" outline="0" fieldPosition="0">
        <references count="1">
          <reference field="10" count="1">
            <x v="4"/>
          </reference>
        </references>
      </pivotArea>
    </format>
    <format dxfId="358">
      <pivotArea field="4" type="button" dataOnly="0" labelOnly="1" outline="0" axis="axisRow" fieldPosition="0"/>
    </format>
    <format dxfId="357">
      <pivotArea field="6" type="button" dataOnly="0" labelOnly="1" outline="0"/>
    </format>
    <format dxfId="356">
      <pivotArea field="9" type="button" dataOnly="0" labelOnly="1" outline="0" axis="axisRow" fieldPosition="4"/>
    </format>
    <format dxfId="355">
      <pivotArea dataOnly="0" labelOnly="1" outline="0" fieldPosition="0">
        <references count="2">
          <reference field="4294967294" count="6">
            <x v="0"/>
            <x v="1"/>
            <x v="3"/>
            <x v="4"/>
            <x v="6"/>
            <x v="7"/>
          </reference>
          <reference field="10" count="1" selected="0">
            <x v="5"/>
          </reference>
        </references>
      </pivotArea>
    </format>
    <format dxfId="354">
      <pivotArea dataOnly="0" labelOnly="1" outline="0" fieldPosition="0">
        <references count="2">
          <reference field="4294967294" count="6">
            <x v="0"/>
            <x v="1"/>
            <x v="3"/>
            <x v="4"/>
            <x v="6"/>
            <x v="7"/>
          </reference>
          <reference field="10" count="1" selected="0">
            <x v="8"/>
          </reference>
        </references>
      </pivotArea>
    </format>
    <format dxfId="353">
      <pivotArea dataOnly="0" labelOnly="1" outline="0" fieldPosition="0">
        <references count="2">
          <reference field="4294967294" count="6">
            <x v="0"/>
            <x v="1"/>
            <x v="3"/>
            <x v="4"/>
            <x v="6"/>
            <x v="7"/>
          </reference>
          <reference field="10" count="1" selected="0">
            <x v="11"/>
          </reference>
        </references>
      </pivotArea>
    </format>
    <format dxfId="352">
      <pivotArea dataOnly="0" labelOnly="1" outline="0" fieldPosition="0">
        <references count="2">
          <reference field="4294967294" count="6">
            <x v="0"/>
            <x v="1"/>
            <x v="3"/>
            <x v="4"/>
            <x v="6"/>
            <x v="7"/>
          </reference>
          <reference field="10" count="1" selected="0">
            <x v="4"/>
          </reference>
        </references>
      </pivotArea>
    </format>
    <format dxfId="351">
      <pivotArea field="4" type="button" dataOnly="0" labelOnly="1" outline="0" axis="axisRow" fieldPosition="0"/>
    </format>
    <format dxfId="350">
      <pivotArea field="6" type="button" dataOnly="0" labelOnly="1" outline="0"/>
    </format>
    <format dxfId="349">
      <pivotArea field="9" type="button" dataOnly="0" labelOnly="1" outline="0" axis="axisRow" fieldPosition="4"/>
    </format>
    <format dxfId="348">
      <pivotArea dataOnly="0" labelOnly="1" outline="0" fieldPosition="0">
        <references count="2">
          <reference field="4294967294" count="6">
            <x v="0"/>
            <x v="1"/>
            <x v="3"/>
            <x v="4"/>
            <x v="6"/>
            <x v="7"/>
          </reference>
          <reference field="10" count="1" selected="0">
            <x v="5"/>
          </reference>
        </references>
      </pivotArea>
    </format>
    <format dxfId="347">
      <pivotArea dataOnly="0" labelOnly="1" outline="0" fieldPosition="0">
        <references count="2">
          <reference field="4294967294" count="6">
            <x v="0"/>
            <x v="1"/>
            <x v="3"/>
            <x v="4"/>
            <x v="6"/>
            <x v="7"/>
          </reference>
          <reference field="10" count="1" selected="0">
            <x v="8"/>
          </reference>
        </references>
      </pivotArea>
    </format>
    <format dxfId="346">
      <pivotArea dataOnly="0" labelOnly="1" outline="0" fieldPosition="0">
        <references count="2">
          <reference field="4294967294" count="6">
            <x v="0"/>
            <x v="1"/>
            <x v="3"/>
            <x v="4"/>
            <x v="6"/>
            <x v="7"/>
          </reference>
          <reference field="10" count="1" selected="0">
            <x v="11"/>
          </reference>
        </references>
      </pivotArea>
    </format>
    <format dxfId="345">
      <pivotArea dataOnly="0" labelOnly="1" outline="0" fieldPosition="0">
        <references count="2">
          <reference field="4294967294" count="6">
            <x v="0"/>
            <x v="1"/>
            <x v="3"/>
            <x v="4"/>
            <x v="6"/>
            <x v="7"/>
          </reference>
          <reference field="10" count="1" selected="0">
            <x v="4"/>
          </reference>
        </references>
      </pivotArea>
    </format>
    <format dxfId="344">
      <pivotArea field="4" type="button" dataOnly="0" labelOnly="1" outline="0" axis="axisRow" fieldPosition="0"/>
    </format>
    <format dxfId="343">
      <pivotArea field="6" type="button" dataOnly="0" labelOnly="1" outline="0"/>
    </format>
    <format dxfId="342">
      <pivotArea field="9" type="button" dataOnly="0" labelOnly="1" outline="0" axis="axisRow" fieldPosition="4"/>
    </format>
    <format dxfId="341">
      <pivotArea dataOnly="0" labelOnly="1" outline="0" fieldPosition="0">
        <references count="2">
          <reference field="4294967294" count="6">
            <x v="0"/>
            <x v="1"/>
            <x v="3"/>
            <x v="4"/>
            <x v="6"/>
            <x v="7"/>
          </reference>
          <reference field="10" count="1" selected="0">
            <x v="5"/>
          </reference>
        </references>
      </pivotArea>
    </format>
    <format dxfId="340">
      <pivotArea dataOnly="0" labelOnly="1" outline="0" fieldPosition="0">
        <references count="2">
          <reference field="4294967294" count="6">
            <x v="0"/>
            <x v="1"/>
            <x v="3"/>
            <x v="4"/>
            <x v="6"/>
            <x v="7"/>
          </reference>
          <reference field="10" count="1" selected="0">
            <x v="8"/>
          </reference>
        </references>
      </pivotArea>
    </format>
    <format dxfId="339">
      <pivotArea dataOnly="0" labelOnly="1" outline="0" fieldPosition="0">
        <references count="2">
          <reference field="4294967294" count="6">
            <x v="0"/>
            <x v="1"/>
            <x v="3"/>
            <x v="4"/>
            <x v="6"/>
            <x v="7"/>
          </reference>
          <reference field="10" count="1" selected="0">
            <x v="11"/>
          </reference>
        </references>
      </pivotArea>
    </format>
    <format dxfId="338">
      <pivotArea dataOnly="0" labelOnly="1" outline="0" fieldPosition="0">
        <references count="2">
          <reference field="4294967294" count="6">
            <x v="0"/>
            <x v="1"/>
            <x v="3"/>
            <x v="4"/>
            <x v="6"/>
            <x v="7"/>
          </reference>
          <reference field="10" count="1" selected="0">
            <x v="4"/>
          </reference>
        </references>
      </pivotArea>
    </format>
    <format dxfId="337">
      <pivotArea field="4" type="button" dataOnly="0" labelOnly="1" outline="0" axis="axisRow" fieldPosition="0"/>
    </format>
    <format dxfId="336">
      <pivotArea field="6" type="button" dataOnly="0" labelOnly="1" outline="0"/>
    </format>
    <format dxfId="335">
      <pivotArea field="9" type="button" dataOnly="0" labelOnly="1" outline="0" axis="axisRow" fieldPosition="4"/>
    </format>
    <format dxfId="334">
      <pivotArea dataOnly="0" labelOnly="1" outline="0" fieldPosition="0">
        <references count="2">
          <reference field="4294967294" count="6">
            <x v="0"/>
            <x v="1"/>
            <x v="3"/>
            <x v="4"/>
            <x v="6"/>
            <x v="7"/>
          </reference>
          <reference field="10" count="1" selected="0">
            <x v="5"/>
          </reference>
        </references>
      </pivotArea>
    </format>
    <format dxfId="333">
      <pivotArea dataOnly="0" labelOnly="1" outline="0" fieldPosition="0">
        <references count="2">
          <reference field="4294967294" count="6">
            <x v="0"/>
            <x v="1"/>
            <x v="3"/>
            <x v="4"/>
            <x v="6"/>
            <x v="7"/>
          </reference>
          <reference field="10" count="1" selected="0">
            <x v="8"/>
          </reference>
        </references>
      </pivotArea>
    </format>
    <format dxfId="332">
      <pivotArea dataOnly="0" labelOnly="1" outline="0" fieldPosition="0">
        <references count="2">
          <reference field="4294967294" count="6">
            <x v="0"/>
            <x v="1"/>
            <x v="3"/>
            <x v="4"/>
            <x v="6"/>
            <x v="7"/>
          </reference>
          <reference field="10" count="1" selected="0">
            <x v="11"/>
          </reference>
        </references>
      </pivotArea>
    </format>
    <format dxfId="331">
      <pivotArea dataOnly="0" labelOnly="1" outline="0" fieldPosition="0">
        <references count="2">
          <reference field="4294967294" count="6">
            <x v="0"/>
            <x v="1"/>
            <x v="3"/>
            <x v="4"/>
            <x v="6"/>
            <x v="7"/>
          </reference>
          <reference field="10" count="1" selected="0">
            <x v="4"/>
          </reference>
        </references>
      </pivotArea>
    </format>
    <format dxfId="330">
      <pivotArea outline="0" fieldPosition="0">
        <references count="1">
          <reference field="4294967294" count="1">
            <x v="3"/>
          </reference>
        </references>
      </pivotArea>
    </format>
    <format dxfId="329">
      <pivotArea outline="0" fieldPosition="0">
        <references count="1">
          <reference field="4294967294" count="1">
            <x v="4"/>
          </reference>
        </references>
      </pivotArea>
    </format>
    <format dxfId="328">
      <pivotArea dataOnly="0" labelOnly="1" outline="0" fieldPosition="0">
        <references count="1">
          <reference field="10" count="1">
            <x v="8"/>
          </reference>
        </references>
      </pivotArea>
    </format>
    <format dxfId="327">
      <pivotArea dataOnly="0" labelOnly="1" outline="0" fieldPosition="0">
        <references count="1">
          <reference field="10" count="1">
            <x v="11"/>
          </reference>
        </references>
      </pivotArea>
    </format>
    <format dxfId="326">
      <pivotArea dataOnly="0" labelOnly="1" outline="0" fieldPosition="0">
        <references count="1">
          <reference field="10" count="1">
            <x v="9"/>
          </reference>
        </references>
      </pivotArea>
    </format>
    <format dxfId="325">
      <pivotArea dataOnly="0" labelOnly="1" outline="0" fieldPosition="0">
        <references count="1">
          <reference field="10" count="1">
            <x v="9"/>
          </reference>
        </references>
      </pivotArea>
    </format>
    <format dxfId="324">
      <pivotArea dataOnly="0" labelOnly="1" outline="0" fieldPosition="0">
        <references count="1">
          <reference field="10" count="1">
            <x v="4"/>
          </reference>
        </references>
      </pivotArea>
    </format>
    <format dxfId="323">
      <pivotArea dataOnly="0" labelOnly="1" outline="0" fieldPosition="0">
        <references count="1">
          <reference field="10" count="1">
            <x v="7"/>
          </reference>
        </references>
      </pivotArea>
    </format>
    <format dxfId="322">
      <pivotArea dataOnly="0" labelOnly="1" outline="0" fieldPosition="0">
        <references count="1">
          <reference field="10" count="1">
            <x v="7"/>
          </reference>
        </references>
      </pivotArea>
    </format>
    <format dxfId="321">
      <pivotArea dataOnly="0" labelOnly="1" outline="0" fieldPosition="0">
        <references count="1">
          <reference field="10" count="1">
            <x v="6"/>
          </reference>
        </references>
      </pivotArea>
    </format>
    <format dxfId="320">
      <pivotArea dataOnly="0" labelOnly="1" outline="0" fieldPosition="0">
        <references count="1">
          <reference field="10" count="1">
            <x v="6"/>
          </reference>
        </references>
      </pivotArea>
    </format>
    <format dxfId="319">
      <pivotArea dataOnly="0" labelOnly="1" outline="0" fieldPosition="0">
        <references count="1">
          <reference field="10" count="1">
            <x v="10"/>
          </reference>
        </references>
      </pivotArea>
    </format>
    <format dxfId="318">
      <pivotArea dataOnly="0" labelOnly="1" outline="0" fieldPosition="0">
        <references count="1">
          <reference field="10" count="1">
            <x v="10"/>
          </reference>
        </references>
      </pivotArea>
    </format>
    <format dxfId="317">
      <pivotArea field="4" type="button" dataOnly="0" labelOnly="1" outline="0" axis="axisRow" fieldPosition="0"/>
    </format>
    <format dxfId="316">
      <pivotArea field="6" type="button" dataOnly="0" labelOnly="1" outline="0"/>
    </format>
    <format dxfId="315">
      <pivotArea field="9" type="button" dataOnly="0" labelOnly="1" outline="0" axis="axisRow" fieldPosition="4"/>
    </format>
    <format dxfId="314">
      <pivotArea dataOnly="0" labelOnly="1" outline="0" fieldPosition="0">
        <references count="2">
          <reference field="4294967294" count="6">
            <x v="0"/>
            <x v="1"/>
            <x v="3"/>
            <x v="4"/>
            <x v="6"/>
            <x v="7"/>
          </reference>
          <reference field="10" count="1" selected="0">
            <x v="5"/>
          </reference>
        </references>
      </pivotArea>
    </format>
    <format dxfId="313">
      <pivotArea dataOnly="0" labelOnly="1" outline="0" fieldPosition="0">
        <references count="2">
          <reference field="4294967294" count="6">
            <x v="0"/>
            <x v="1"/>
            <x v="3"/>
            <x v="4"/>
            <x v="6"/>
            <x v="7"/>
          </reference>
          <reference field="10" count="1" selected="0">
            <x v="8"/>
          </reference>
        </references>
      </pivotArea>
    </format>
    <format dxfId="312">
      <pivotArea dataOnly="0" labelOnly="1" outline="0" fieldPosition="0">
        <references count="2">
          <reference field="4294967294" count="6">
            <x v="0"/>
            <x v="1"/>
            <x v="3"/>
            <x v="4"/>
            <x v="6"/>
            <x v="7"/>
          </reference>
          <reference field="10" count="1" selected="0">
            <x v="11"/>
          </reference>
        </references>
      </pivotArea>
    </format>
    <format dxfId="311">
      <pivotArea dataOnly="0" labelOnly="1" outline="0" fieldPosition="0">
        <references count="2">
          <reference field="4294967294" count="6">
            <x v="0"/>
            <x v="1"/>
            <x v="3"/>
            <x v="4"/>
            <x v="6"/>
            <x v="7"/>
          </reference>
          <reference field="10" count="1" selected="0">
            <x v="9"/>
          </reference>
        </references>
      </pivotArea>
    </format>
    <format dxfId="310">
      <pivotArea dataOnly="0" labelOnly="1" outline="0" fieldPosition="0">
        <references count="2">
          <reference field="4294967294" count="6">
            <x v="0"/>
            <x v="1"/>
            <x v="3"/>
            <x v="4"/>
            <x v="6"/>
            <x v="7"/>
          </reference>
          <reference field="10" count="1" selected="0">
            <x v="4"/>
          </reference>
        </references>
      </pivotArea>
    </format>
    <format dxfId="309">
      <pivotArea dataOnly="0" labelOnly="1" outline="0" fieldPosition="0">
        <references count="2">
          <reference field="4294967294" count="6">
            <x v="0"/>
            <x v="1"/>
            <x v="3"/>
            <x v="4"/>
            <x v="6"/>
            <x v="7"/>
          </reference>
          <reference field="10" count="1" selected="0">
            <x v="7"/>
          </reference>
        </references>
      </pivotArea>
    </format>
    <format dxfId="308">
      <pivotArea dataOnly="0" labelOnly="1" outline="0" fieldPosition="0">
        <references count="2">
          <reference field="4294967294" count="6">
            <x v="0"/>
            <x v="1"/>
            <x v="3"/>
            <x v="4"/>
            <x v="6"/>
            <x v="7"/>
          </reference>
          <reference field="10" count="1" selected="0">
            <x v="6"/>
          </reference>
        </references>
      </pivotArea>
    </format>
    <format dxfId="307">
      <pivotArea dataOnly="0" labelOnly="1" outline="0" fieldPosition="0">
        <references count="2">
          <reference field="4294967294" count="6">
            <x v="0"/>
            <x v="1"/>
            <x v="3"/>
            <x v="4"/>
            <x v="6"/>
            <x v="7"/>
          </reference>
          <reference field="10" count="1" selected="0">
            <x v="10"/>
          </reference>
        </references>
      </pivotArea>
    </format>
    <format dxfId="306">
      <pivotArea field="4" type="button" dataOnly="0" labelOnly="1" outline="0" axis="axisRow" fieldPosition="0"/>
    </format>
    <format dxfId="305">
      <pivotArea field="6" type="button" dataOnly="0" labelOnly="1" outline="0"/>
    </format>
    <format dxfId="304">
      <pivotArea field="9" type="button" dataOnly="0" labelOnly="1" outline="0" axis="axisRow" fieldPosition="4"/>
    </format>
    <format dxfId="303">
      <pivotArea dataOnly="0" labelOnly="1" outline="0" fieldPosition="0">
        <references count="2">
          <reference field="4294967294" count="6">
            <x v="0"/>
            <x v="1"/>
            <x v="3"/>
            <x v="4"/>
            <x v="6"/>
            <x v="7"/>
          </reference>
          <reference field="10" count="1" selected="0">
            <x v="5"/>
          </reference>
        </references>
      </pivotArea>
    </format>
    <format dxfId="302">
      <pivotArea dataOnly="0" labelOnly="1" outline="0" fieldPosition="0">
        <references count="2">
          <reference field="4294967294" count="6">
            <x v="0"/>
            <x v="1"/>
            <x v="3"/>
            <x v="4"/>
            <x v="6"/>
            <x v="7"/>
          </reference>
          <reference field="10" count="1" selected="0">
            <x v="8"/>
          </reference>
        </references>
      </pivotArea>
    </format>
    <format dxfId="301">
      <pivotArea dataOnly="0" labelOnly="1" outline="0" fieldPosition="0">
        <references count="2">
          <reference field="4294967294" count="6">
            <x v="0"/>
            <x v="1"/>
            <x v="3"/>
            <x v="4"/>
            <x v="6"/>
            <x v="7"/>
          </reference>
          <reference field="10" count="1" selected="0">
            <x v="11"/>
          </reference>
        </references>
      </pivotArea>
    </format>
    <format dxfId="300">
      <pivotArea dataOnly="0" labelOnly="1" outline="0" fieldPosition="0">
        <references count="2">
          <reference field="4294967294" count="6">
            <x v="0"/>
            <x v="1"/>
            <x v="3"/>
            <x v="4"/>
            <x v="6"/>
            <x v="7"/>
          </reference>
          <reference field="10" count="1" selected="0">
            <x v="9"/>
          </reference>
        </references>
      </pivotArea>
    </format>
    <format dxfId="299">
      <pivotArea dataOnly="0" labelOnly="1" outline="0" fieldPosition="0">
        <references count="2">
          <reference field="4294967294" count="6">
            <x v="0"/>
            <x v="1"/>
            <x v="3"/>
            <x v="4"/>
            <x v="6"/>
            <x v="7"/>
          </reference>
          <reference field="10" count="1" selected="0">
            <x v="4"/>
          </reference>
        </references>
      </pivotArea>
    </format>
    <format dxfId="298">
      <pivotArea dataOnly="0" labelOnly="1" outline="0" fieldPosition="0">
        <references count="2">
          <reference field="4294967294" count="6">
            <x v="0"/>
            <x v="1"/>
            <x v="3"/>
            <x v="4"/>
            <x v="6"/>
            <x v="7"/>
          </reference>
          <reference field="10" count="1" selected="0">
            <x v="7"/>
          </reference>
        </references>
      </pivotArea>
    </format>
    <format dxfId="297">
      <pivotArea dataOnly="0" labelOnly="1" outline="0" fieldPosition="0">
        <references count="2">
          <reference field="4294967294" count="6">
            <x v="0"/>
            <x v="1"/>
            <x v="3"/>
            <x v="4"/>
            <x v="6"/>
            <x v="7"/>
          </reference>
          <reference field="10" count="1" selected="0">
            <x v="6"/>
          </reference>
        </references>
      </pivotArea>
    </format>
    <format dxfId="296">
      <pivotArea dataOnly="0" labelOnly="1" outline="0" fieldPosition="0">
        <references count="2">
          <reference field="4294967294" count="6">
            <x v="0"/>
            <x v="1"/>
            <x v="3"/>
            <x v="4"/>
            <x v="6"/>
            <x v="7"/>
          </reference>
          <reference field="10" count="1" selected="0">
            <x v="10"/>
          </reference>
        </references>
      </pivotArea>
    </format>
    <format dxfId="295">
      <pivotArea field="4" type="button" dataOnly="0" labelOnly="1" outline="0" axis="axisRow" fieldPosition="0"/>
    </format>
    <format dxfId="294">
      <pivotArea field="6" type="button" dataOnly="0" labelOnly="1" outline="0"/>
    </format>
    <format dxfId="293">
      <pivotArea field="9" type="button" dataOnly="0" labelOnly="1" outline="0" axis="axisRow" fieldPosition="4"/>
    </format>
    <format dxfId="292">
      <pivotArea dataOnly="0" labelOnly="1" outline="0" fieldPosition="0">
        <references count="2">
          <reference field="4294967294" count="6">
            <x v="0"/>
            <x v="1"/>
            <x v="3"/>
            <x v="4"/>
            <x v="6"/>
            <x v="7"/>
          </reference>
          <reference field="10" count="1" selected="0">
            <x v="5"/>
          </reference>
        </references>
      </pivotArea>
    </format>
    <format dxfId="291">
      <pivotArea dataOnly="0" labelOnly="1" outline="0" fieldPosition="0">
        <references count="2">
          <reference field="4294967294" count="6">
            <x v="0"/>
            <x v="1"/>
            <x v="3"/>
            <x v="4"/>
            <x v="6"/>
            <x v="7"/>
          </reference>
          <reference field="10" count="1" selected="0">
            <x v="8"/>
          </reference>
        </references>
      </pivotArea>
    </format>
    <format dxfId="290">
      <pivotArea dataOnly="0" labelOnly="1" outline="0" fieldPosition="0">
        <references count="2">
          <reference field="4294967294" count="6">
            <x v="0"/>
            <x v="1"/>
            <x v="3"/>
            <x v="4"/>
            <x v="6"/>
            <x v="7"/>
          </reference>
          <reference field="10" count="1" selected="0">
            <x v="11"/>
          </reference>
        </references>
      </pivotArea>
    </format>
    <format dxfId="289">
      <pivotArea dataOnly="0" labelOnly="1" outline="0" fieldPosition="0">
        <references count="2">
          <reference field="4294967294" count="6">
            <x v="0"/>
            <x v="1"/>
            <x v="3"/>
            <x v="4"/>
            <x v="6"/>
            <x v="7"/>
          </reference>
          <reference field="10" count="1" selected="0">
            <x v="9"/>
          </reference>
        </references>
      </pivotArea>
    </format>
    <format dxfId="288">
      <pivotArea dataOnly="0" labelOnly="1" outline="0" fieldPosition="0">
        <references count="2">
          <reference field="4294967294" count="6">
            <x v="0"/>
            <x v="1"/>
            <x v="3"/>
            <x v="4"/>
            <x v="6"/>
            <x v="7"/>
          </reference>
          <reference field="10" count="1" selected="0">
            <x v="4"/>
          </reference>
        </references>
      </pivotArea>
    </format>
    <format dxfId="287">
      <pivotArea dataOnly="0" labelOnly="1" outline="0" fieldPosition="0">
        <references count="2">
          <reference field="4294967294" count="6">
            <x v="0"/>
            <x v="1"/>
            <x v="3"/>
            <x v="4"/>
            <x v="6"/>
            <x v="7"/>
          </reference>
          <reference field="10" count="1" selected="0">
            <x v="7"/>
          </reference>
        </references>
      </pivotArea>
    </format>
    <format dxfId="286">
      <pivotArea dataOnly="0" labelOnly="1" outline="0" fieldPosition="0">
        <references count="2">
          <reference field="4294967294" count="6">
            <x v="0"/>
            <x v="1"/>
            <x v="3"/>
            <x v="4"/>
            <x v="6"/>
            <x v="7"/>
          </reference>
          <reference field="10" count="1" selected="0">
            <x v="6"/>
          </reference>
        </references>
      </pivotArea>
    </format>
    <format dxfId="285">
      <pivotArea dataOnly="0" labelOnly="1" outline="0" fieldPosition="0">
        <references count="2">
          <reference field="4294967294" count="6">
            <x v="0"/>
            <x v="1"/>
            <x v="3"/>
            <x v="4"/>
            <x v="6"/>
            <x v="7"/>
          </reference>
          <reference field="10" count="1" selected="0">
            <x v="10"/>
          </reference>
        </references>
      </pivotArea>
    </format>
    <format dxfId="284">
      <pivotArea field="4" type="button" dataOnly="0" labelOnly="1" outline="0" axis="axisRow" fieldPosition="0"/>
    </format>
    <format dxfId="283">
      <pivotArea field="6" type="button" dataOnly="0" labelOnly="1" outline="0"/>
    </format>
    <format dxfId="282">
      <pivotArea field="9" type="button" dataOnly="0" labelOnly="1" outline="0" axis="axisRow" fieldPosition="4"/>
    </format>
    <format dxfId="281">
      <pivotArea dataOnly="0" labelOnly="1" outline="0" fieldPosition="0">
        <references count="2">
          <reference field="4294967294" count="6">
            <x v="0"/>
            <x v="1"/>
            <x v="3"/>
            <x v="4"/>
            <x v="6"/>
            <x v="7"/>
          </reference>
          <reference field="10" count="1" selected="0">
            <x v="5"/>
          </reference>
        </references>
      </pivotArea>
    </format>
    <format dxfId="280">
      <pivotArea dataOnly="0" labelOnly="1" outline="0" fieldPosition="0">
        <references count="2">
          <reference field="4294967294" count="6">
            <x v="0"/>
            <x v="1"/>
            <x v="3"/>
            <x v="4"/>
            <x v="6"/>
            <x v="7"/>
          </reference>
          <reference field="10" count="1" selected="0">
            <x v="8"/>
          </reference>
        </references>
      </pivotArea>
    </format>
    <format dxfId="279">
      <pivotArea dataOnly="0" labelOnly="1" outline="0" fieldPosition="0">
        <references count="2">
          <reference field="4294967294" count="6">
            <x v="0"/>
            <x v="1"/>
            <x v="3"/>
            <x v="4"/>
            <x v="6"/>
            <x v="7"/>
          </reference>
          <reference field="10" count="1" selected="0">
            <x v="11"/>
          </reference>
        </references>
      </pivotArea>
    </format>
    <format dxfId="278">
      <pivotArea dataOnly="0" labelOnly="1" outline="0" fieldPosition="0">
        <references count="2">
          <reference field="4294967294" count="6">
            <x v="0"/>
            <x v="1"/>
            <x v="3"/>
            <x v="4"/>
            <x v="6"/>
            <x v="7"/>
          </reference>
          <reference field="10" count="1" selected="0">
            <x v="9"/>
          </reference>
        </references>
      </pivotArea>
    </format>
    <format dxfId="277">
      <pivotArea dataOnly="0" labelOnly="1" outline="0" fieldPosition="0">
        <references count="2">
          <reference field="4294967294" count="6">
            <x v="0"/>
            <x v="1"/>
            <x v="3"/>
            <x v="4"/>
            <x v="6"/>
            <x v="7"/>
          </reference>
          <reference field="10" count="1" selected="0">
            <x v="4"/>
          </reference>
        </references>
      </pivotArea>
    </format>
    <format dxfId="276">
      <pivotArea dataOnly="0" labelOnly="1" outline="0" fieldPosition="0">
        <references count="2">
          <reference field="4294967294" count="6">
            <x v="0"/>
            <x v="1"/>
            <x v="3"/>
            <x v="4"/>
            <x v="6"/>
            <x v="7"/>
          </reference>
          <reference field="10" count="1" selected="0">
            <x v="7"/>
          </reference>
        </references>
      </pivotArea>
    </format>
    <format dxfId="275">
      <pivotArea dataOnly="0" labelOnly="1" outline="0" fieldPosition="0">
        <references count="2">
          <reference field="4294967294" count="6">
            <x v="0"/>
            <x v="1"/>
            <x v="3"/>
            <x v="4"/>
            <x v="6"/>
            <x v="7"/>
          </reference>
          <reference field="10" count="1" selected="0">
            <x v="6"/>
          </reference>
        </references>
      </pivotArea>
    </format>
    <format dxfId="274">
      <pivotArea dataOnly="0" labelOnly="1" outline="0" fieldPosition="0">
        <references count="2">
          <reference field="4294967294" count="6">
            <x v="0"/>
            <x v="1"/>
            <x v="3"/>
            <x v="4"/>
            <x v="6"/>
            <x v="7"/>
          </reference>
          <reference field="10" count="1" selected="0">
            <x v="10"/>
          </reference>
        </references>
      </pivotArea>
    </format>
    <format dxfId="273">
      <pivotArea field="4" type="button" dataOnly="0" labelOnly="1" outline="0" axis="axisRow" fieldPosition="0"/>
    </format>
    <format dxfId="272">
      <pivotArea field="6" type="button" dataOnly="0" labelOnly="1" outline="0"/>
    </format>
    <format dxfId="271">
      <pivotArea field="9" type="button" dataOnly="0" labelOnly="1" outline="0" axis="axisRow" fieldPosition="4"/>
    </format>
    <format dxfId="270">
      <pivotArea dataOnly="0" labelOnly="1" outline="0" fieldPosition="0">
        <references count="2">
          <reference field="4294967294" count="8">
            <x v="0"/>
            <x v="1"/>
            <x v="2"/>
            <x v="3"/>
            <x v="4"/>
            <x v="5"/>
            <x v="6"/>
            <x v="7"/>
          </reference>
          <reference field="10" count="1" selected="0">
            <x v="5"/>
          </reference>
        </references>
      </pivotArea>
    </format>
    <format dxfId="269">
      <pivotArea dataOnly="0" labelOnly="1" outline="0" fieldPosition="0">
        <references count="2">
          <reference field="4294967294" count="8">
            <x v="0"/>
            <x v="1"/>
            <x v="2"/>
            <x v="3"/>
            <x v="4"/>
            <x v="5"/>
            <x v="6"/>
            <x v="7"/>
          </reference>
          <reference field="10" count="1" selected="0">
            <x v="8"/>
          </reference>
        </references>
      </pivotArea>
    </format>
    <format dxfId="268">
      <pivotArea dataOnly="0" labelOnly="1" outline="0" fieldPosition="0">
        <references count="2">
          <reference field="4294967294" count="8">
            <x v="0"/>
            <x v="1"/>
            <x v="2"/>
            <x v="3"/>
            <x v="4"/>
            <x v="5"/>
            <x v="6"/>
            <x v="7"/>
          </reference>
          <reference field="10" count="1" selected="0">
            <x v="11"/>
          </reference>
        </references>
      </pivotArea>
    </format>
    <format dxfId="267">
      <pivotArea dataOnly="0" labelOnly="1" outline="0" fieldPosition="0">
        <references count="2">
          <reference field="4294967294" count="8">
            <x v="0"/>
            <x v="1"/>
            <x v="2"/>
            <x v="3"/>
            <x v="4"/>
            <x v="5"/>
            <x v="6"/>
            <x v="7"/>
          </reference>
          <reference field="10" count="1" selected="0">
            <x v="4"/>
          </reference>
        </references>
      </pivotArea>
    </format>
    <format dxfId="266">
      <pivotArea dataOnly="0" labelOnly="1" outline="0" fieldPosition="0">
        <references count="2">
          <reference field="4294967294" count="1">
            <x v="8"/>
          </reference>
          <reference field="10" count="1" selected="0">
            <x v="8"/>
          </reference>
        </references>
      </pivotArea>
    </format>
    <format dxfId="265">
      <pivotArea dataOnly="0" labelOnly="1" outline="0" fieldPosition="0">
        <references count="2">
          <reference field="4294967294" count="1">
            <x v="8"/>
          </reference>
          <reference field="10" count="1" selected="0">
            <x v="11"/>
          </reference>
        </references>
      </pivotArea>
    </format>
    <format dxfId="264">
      <pivotArea dataOnly="0" labelOnly="1" outline="0" fieldPosition="0">
        <references count="2">
          <reference field="4294967294" count="1">
            <x v="8"/>
          </reference>
          <reference field="10" count="1" selected="0">
            <x v="4"/>
          </reference>
        </references>
      </pivotArea>
    </format>
    <format dxfId="263">
      <pivotArea field="4" type="button" dataOnly="0" labelOnly="1" outline="0" axis="axisRow" fieldPosition="0"/>
    </format>
    <format dxfId="262">
      <pivotArea field="7" type="button" dataOnly="0" labelOnly="1" outline="0" axis="axisRow" fieldPosition="3"/>
    </format>
    <format dxfId="261">
      <pivotArea field="9" type="button" dataOnly="0" labelOnly="1" outline="0" axis="axisRow" fieldPosition="4"/>
    </format>
    <format dxfId="260">
      <pivotArea dataOnly="0" labelOnly="1" outline="0" fieldPosition="0">
        <references count="1">
          <reference field="4" count="0"/>
        </references>
      </pivotArea>
    </format>
    <format dxfId="259">
      <pivotArea dataOnly="0" labelOnly="1" outline="0" fieldPosition="0">
        <references count="1">
          <reference field="4" count="0"/>
        </references>
      </pivotArea>
    </format>
    <format dxfId="258">
      <pivotArea dataOnly="0" labelOnly="1" outline="0" fieldPosition="0">
        <references count="1">
          <reference field="10" count="1">
            <x v="2"/>
          </reference>
        </references>
      </pivotArea>
    </format>
    <format dxfId="257">
      <pivotArea dataOnly="0" labelOnly="1" outline="0" fieldPosition="0">
        <references count="2">
          <reference field="4294967294" count="9">
            <x v="0"/>
            <x v="1"/>
            <x v="2"/>
            <x v="3"/>
            <x v="4"/>
            <x v="5"/>
            <x v="6"/>
            <x v="7"/>
            <x v="8"/>
          </reference>
          <reference field="10" count="1" selected="0">
            <x v="2"/>
          </reference>
        </references>
      </pivotArea>
    </format>
    <format dxfId="256">
      <pivotArea dataOnly="0" labelOnly="1" outline="0" fieldPosition="0">
        <references count="1">
          <reference field="10" count="1">
            <x v="0"/>
          </reference>
        </references>
      </pivotArea>
    </format>
    <format dxfId="255">
      <pivotArea dataOnly="0" labelOnly="1" outline="0" fieldPosition="0">
        <references count="2">
          <reference field="4294967294" count="9">
            <x v="0"/>
            <x v="1"/>
            <x v="2"/>
            <x v="3"/>
            <x v="4"/>
            <x v="5"/>
            <x v="6"/>
            <x v="7"/>
            <x v="8"/>
          </reference>
          <reference field="10" count="1" selected="0">
            <x v="0"/>
          </reference>
        </references>
      </pivotArea>
    </format>
    <format dxfId="254">
      <pivotArea dataOnly="0" labelOnly="1" outline="0" fieldPosition="0">
        <references count="1">
          <reference field="10" count="1">
            <x v="1"/>
          </reference>
        </references>
      </pivotArea>
    </format>
    <format dxfId="253">
      <pivotArea dataOnly="0" labelOnly="1" outline="0" fieldPosition="0">
        <references count="2">
          <reference field="4294967294" count="9">
            <x v="0"/>
            <x v="1"/>
            <x v="2"/>
            <x v="3"/>
            <x v="4"/>
            <x v="5"/>
            <x v="6"/>
            <x v="7"/>
            <x v="8"/>
          </reference>
          <reference field="10" count="1" selected="0">
            <x v="1"/>
          </reference>
        </references>
      </pivotArea>
    </format>
    <format dxfId="252">
      <pivotArea dataOnly="0" labelOnly="1" outline="0" fieldPosition="0">
        <references count="1">
          <reference field="10" count="1">
            <x v="0"/>
          </reference>
        </references>
      </pivotArea>
    </format>
    <format dxfId="251">
      <pivotArea dataOnly="0" labelOnly="1" outline="0" fieldPosition="0">
        <references count="2">
          <reference field="4294967294" count="9">
            <x v="0"/>
            <x v="1"/>
            <x v="2"/>
            <x v="3"/>
            <x v="4"/>
            <x v="5"/>
            <x v="6"/>
            <x v="7"/>
            <x v="8"/>
          </reference>
          <reference field="10" count="1" selected="0">
            <x v="0"/>
          </reference>
        </references>
      </pivotArea>
    </format>
    <format dxfId="250">
      <pivotArea dataOnly="0" labelOnly="1" outline="0" fieldPosition="0">
        <references count="1">
          <reference field="10" count="1">
            <x v="1"/>
          </reference>
        </references>
      </pivotArea>
    </format>
    <format dxfId="249">
      <pivotArea dataOnly="0" labelOnly="1" outline="0" fieldPosition="0">
        <references count="2">
          <reference field="4294967294" count="9">
            <x v="0"/>
            <x v="1"/>
            <x v="2"/>
            <x v="3"/>
            <x v="4"/>
            <x v="5"/>
            <x v="6"/>
            <x v="7"/>
            <x v="8"/>
          </reference>
          <reference field="10" count="1" selected="0">
            <x v="1"/>
          </reference>
        </references>
      </pivotArea>
    </format>
    <format dxfId="248">
      <pivotArea dataOnly="0" labelOnly="1" outline="0" fieldPosition="0">
        <references count="1">
          <reference field="10" count="1">
            <x v="2"/>
          </reference>
        </references>
      </pivotArea>
    </format>
    <format dxfId="247">
      <pivotArea dataOnly="0" labelOnly="1" outline="0" fieldPosition="0">
        <references count="2">
          <reference field="4294967294" count="9">
            <x v="0"/>
            <x v="1"/>
            <x v="2"/>
            <x v="3"/>
            <x v="4"/>
            <x v="5"/>
            <x v="6"/>
            <x v="7"/>
            <x v="8"/>
          </reference>
          <reference field="10" count="1" selected="0">
            <x v="2"/>
          </reference>
        </references>
      </pivotArea>
    </format>
    <format dxfId="246">
      <pivotArea dataOnly="0" labelOnly="1" outline="0" fieldPosition="0">
        <references count="1">
          <reference field="10" count="1">
            <x v="3"/>
          </reference>
        </references>
      </pivotArea>
    </format>
    <format dxfId="245">
      <pivotArea dataOnly="0" labelOnly="1" outline="0" fieldPosition="0">
        <references count="1">
          <reference field="10" count="1">
            <x v="3"/>
          </reference>
        </references>
      </pivotArea>
    </format>
    <format dxfId="244">
      <pivotArea dataOnly="0" labelOnly="1" outline="0" fieldPosition="0">
        <references count="1">
          <reference field="10" count="1">
            <x v="3"/>
          </reference>
        </references>
      </pivotArea>
    </format>
  </formats>
  <conditionalFormats count="1">
    <conditionalFormat priority="1">
      <pivotAreas count="1">
        <pivotArea type="data" outline="0" collapsedLevelsAreSubtotals="1" fieldPosition="0"/>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Depot" xr10:uid="{9C819B03-328F-4BEB-B561-378510225061}" sourceName="Home Depot">
  <pivotTables>
    <pivotTable tabId="2" name="PivotTable1"/>
  </pivotTables>
  <data>
    <tabular pivotCacheId="357363302">
      <items count="14">
        <i x="0" s="1"/>
        <i x="1"/>
        <i x="2"/>
        <i x="3"/>
        <i x="4"/>
        <i x="5"/>
        <i x="6"/>
        <i x="7"/>
        <i x="9" nd="1"/>
        <i x="12" nd="1"/>
        <i x="13" nd="1"/>
        <i x="10" nd="1"/>
        <i x="11" nd="1"/>
        <i x="8"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me Depot" xr10:uid="{E522980C-138D-4E6C-BF45-38135A023F03}" cache="Slicer_Home_Depot" caption="Select your Depot." columnCount="8" style="SlicerStyleDark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FB36C4-8048-40DF-950D-6D8F3066267A}" name="Table1" displayName="Table1" ref="A1:Y1027" totalsRowShown="0" headerRowDxfId="392" dataDxfId="390" headerRowBorderDxfId="391" tableBorderDxfId="389" totalsRowBorderDxfId="388">
  <autoFilter ref="A1:Y1027" xr:uid="{3EFB36C4-8048-40DF-950D-6D8F3066267A}"/>
  <tableColumns count="25">
    <tableColumn id="24" xr3:uid="{5CE74F61-F016-47CA-8CA2-7E2AF4D0A586}" name="scud_date" dataDxfId="387"/>
    <tableColumn id="1" xr3:uid="{4C9D20EF-FAE9-492F-B7EF-7EFDEBB50925}" name="bk_date_start" dataDxfId="386"/>
    <tableColumn id="2" xr3:uid="{CBA9F131-3089-4B0A-865C-ACE69B5FEBEE}" name="Home Depot" dataDxfId="385"/>
    <tableColumn id="3" xr3:uid="{EB5CB73A-99D7-4E84-BFB9-C8FE20329702}" name="rte_service_type"/>
    <tableColumn id="4" xr3:uid="{4BFAD63C-3771-4BA5-9976-932F87939500}" name="rte_identifier5" dataDxfId="384"/>
    <tableColumn id="5" xr3:uid="{85C754FA-85FA-4EAE-99F4-1394D6F31FEE}" name="rte_long_name" dataDxfId="383"/>
    <tableColumn id="23" xr3:uid="{F2E94EC8-AACD-4251-9DCA-F0D72FB4BB93}" name="rte_depot" dataDxfId="382"/>
    <tableColumn id="6" xr3:uid="{B563EEA9-C7F4-416E-8C07-F4D2E19E763F}" name="rte_depot_Name" dataDxfId="381"/>
    <tableColumn id="7" xr3:uid="{C11F9FB0-DF41-420C-9B62-B865C17DBA75}" name="rte_depot_abbr" dataDxfId="380"/>
    <tableColumn id="9" xr3:uid="{D3DED478-1C91-4577-B198-0F41111DF968}" name="rte_veh_type" dataDxfId="379"/>
    <tableColumn id="10" xr3:uid="{C5276AAE-6EF9-4EF7-9C1D-9EB21442A10D}" name="sched_type" dataDxfId="378"/>
    <tableColumn id="11" xr3:uid="{E107464F-CD72-44F0-BE3D-A44C8FCD5EAE}" name="csc_cscseqno" dataDxfId="377"/>
    <tableColumn id="12" xr3:uid="{3FFC6DB1-79D9-4985-BD6B-24DEDF6909BF}" name="rev_trip_count" dataDxfId="376"/>
    <tableColumn id="13" xr3:uid="{773D9521-8E70-4C88-B075-BAAFA52C8D44}" name="nrev_trip_count" dataDxfId="375"/>
    <tableColumn id="14" xr3:uid="{91B3C17E-44BB-4DA0-938F-EEDF7E9E16CE}" name="rev_km" dataDxfId="374"/>
    <tableColumn id="15" xr3:uid="{4F6A55C7-FC0E-4CCB-9F6F-C831D9536D66}" name="dh_km" dataDxfId="373"/>
    <tableColumn id="16" xr3:uid="{2E10C448-B296-4606-B198-61210DB21CDA}" name="rte_frequency" dataDxfId="372"/>
    <tableColumn id="17" xr3:uid="{5DFC2D4F-D08F-42FF-88E0-713683725478}" name="rte_peak_req" dataDxfId="371"/>
    <tableColumn id="18" xr3:uid="{94C180EA-F8B5-41BF-A52F-8B002CB6B76B}" name="dty_types" dataDxfId="370"/>
    <tableColumn id="19" xr3:uid="{F3115DDF-1284-4B04-9759-4C82657780A9}" name="dty_type_cnt1" dataDxfId="369"/>
    <tableColumn id="20" xr3:uid="{9DAFD227-491D-4C4E-8952-9BC446A51B41}" name="dty_type_cnt2" dataDxfId="368"/>
    <tableColumn id="21" xr3:uid="{5CAE1EF1-C657-491E-80CF-02F262C7B5B5}" name="dty_type_cnt3" dataDxfId="367"/>
    <tableColumn id="22" xr3:uid="{F575AEE8-9894-4960-9C78-33491A1B4C39}" name="dty_type_cnt4" dataDxfId="366"/>
    <tableColumn id="25" xr3:uid="{D780FBAA-F488-4E72-A780-598574E586CF}" name="dty_type_cnt5" dataDxfId="365"/>
    <tableColumn id="26" xr3:uid="{CBD99512-269E-4721-ACE8-ADC4C5EF332C}" name="Duty_CNT" dataDxfId="243">
      <calculatedColumnFormula>SUM(Table1[[#This Row],[dty_type_cnt1]:[dty_type_cnt5]])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8A8D-E9EF-4613-A838-B71BBE1DC892}">
  <sheetPr codeName="Sheet6"/>
  <dimension ref="B3:H5"/>
  <sheetViews>
    <sheetView showGridLines="0" workbookViewId="0">
      <selection sqref="A1:XFD1048576"/>
    </sheetView>
  </sheetViews>
  <sheetFormatPr defaultRowHeight="15" x14ac:dyDescent="0.25"/>
  <cols>
    <col min="1" max="1" width="2.28515625" customWidth="1"/>
    <col min="2" max="2" width="9.5703125" bestFit="1" customWidth="1"/>
    <col min="3" max="3" width="59" bestFit="1" customWidth="1"/>
    <col min="4" max="6" width="13.85546875" customWidth="1"/>
    <col min="7" max="7" width="7.140625" bestFit="1" customWidth="1"/>
    <col min="8" max="8" width="7.5703125" bestFit="1" customWidth="1"/>
  </cols>
  <sheetData>
    <row r="3" spans="2:8" x14ac:dyDescent="0.25">
      <c r="B3" t="s">
        <v>38</v>
      </c>
      <c r="C3" s="17" t="s">
        <v>429</v>
      </c>
      <c r="D3" s="18"/>
      <c r="E3" s="18"/>
      <c r="F3" s="19"/>
    </row>
    <row r="4" spans="2:8" x14ac:dyDescent="0.25">
      <c r="B4" t="s">
        <v>37</v>
      </c>
      <c r="C4" s="17" t="str">
        <f>RIGHT(filePath,24)</f>
        <v>20260320_ServIndiceE.txt</v>
      </c>
      <c r="D4" s="18"/>
      <c r="E4" s="18"/>
      <c r="F4" s="19"/>
    </row>
    <row r="5" spans="2:8" x14ac:dyDescent="0.25">
      <c r="C5" s="26" t="str">
        <f>LEFT(C4,LEN(C4)-4)</f>
        <v>20260320_ServIndiceE</v>
      </c>
      <c r="G5" t="s">
        <v>41</v>
      </c>
      <c r="H5" t="s">
        <v>42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EDF3-1B46-490E-8B91-6FD6B2C3F018}">
  <sheetPr codeName="Sheet2"/>
  <dimension ref="A1:Y1027"/>
  <sheetViews>
    <sheetView workbookViewId="0">
      <selection activeCell="A30" sqref="A30:XFD159"/>
    </sheetView>
  </sheetViews>
  <sheetFormatPr defaultColWidth="9.28515625" defaultRowHeight="15" x14ac:dyDescent="0.25"/>
  <cols>
    <col min="1" max="1" width="18.28515625" bestFit="1" customWidth="1"/>
    <col min="2" max="2" width="17.85546875" bestFit="1" customWidth="1"/>
    <col min="3" max="3" width="16.7109375" bestFit="1" customWidth="1"/>
    <col min="4" max="4" width="16.7109375" customWidth="1"/>
    <col min="5" max="5" width="18.7109375" style="35" bestFit="1" customWidth="1"/>
    <col min="6" max="6" width="19.140625" bestFit="1" customWidth="1"/>
    <col min="7" max="7" width="14.42578125" bestFit="1" customWidth="1"/>
    <col min="8" max="8" width="20.85546875" bestFit="1" customWidth="1"/>
    <col min="9" max="9" width="19.5703125" bestFit="1" customWidth="1"/>
    <col min="10" max="10" width="17.42578125" bestFit="1" customWidth="1"/>
    <col min="11" max="11" width="15.7109375" bestFit="1" customWidth="1"/>
    <col min="12" max="12" width="17.140625" bestFit="1" customWidth="1"/>
    <col min="13" max="13" width="18.7109375" bestFit="1" customWidth="1"/>
    <col min="14" max="14" width="19.85546875" bestFit="1" customWidth="1"/>
    <col min="15" max="15" width="12.140625" bestFit="1" customWidth="1"/>
    <col min="16" max="16" width="11.5703125" bestFit="1" customWidth="1"/>
    <col min="17" max="17" width="18.28515625" bestFit="1" customWidth="1"/>
    <col min="18" max="18" width="17.42578125" bestFit="1" customWidth="1"/>
    <col min="19" max="19" width="14.28515625" bestFit="1" customWidth="1"/>
    <col min="20" max="24" width="18.28515625" bestFit="1" customWidth="1"/>
  </cols>
  <sheetData>
    <row r="1" spans="1:25" x14ac:dyDescent="0.25">
      <c r="A1" s="16" t="s">
        <v>58</v>
      </c>
      <c r="B1" s="16" t="s">
        <v>3</v>
      </c>
      <c r="C1" s="16" t="s">
        <v>39</v>
      </c>
      <c r="D1" s="16" t="s">
        <v>4</v>
      </c>
      <c r="E1" s="16" t="s">
        <v>5</v>
      </c>
      <c r="F1" s="16" t="s">
        <v>6</v>
      </c>
      <c r="G1" s="16" t="s">
        <v>7</v>
      </c>
      <c r="H1" s="16" t="s">
        <v>36</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c r="X1" s="16" t="s">
        <v>23</v>
      </c>
      <c r="Y1" s="16" t="s">
        <v>40</v>
      </c>
    </row>
    <row r="2" spans="1:25" x14ac:dyDescent="0.25">
      <c r="A2" s="15">
        <v>46101</v>
      </c>
      <c r="B2" t="s">
        <v>430</v>
      </c>
      <c r="C2" t="s">
        <v>114</v>
      </c>
      <c r="D2" t="s">
        <v>46</v>
      </c>
      <c r="E2">
        <v>8</v>
      </c>
      <c r="F2" t="s">
        <v>61</v>
      </c>
      <c r="G2" t="s">
        <v>115</v>
      </c>
      <c r="H2" t="s">
        <v>60</v>
      </c>
      <c r="I2" t="s">
        <v>115</v>
      </c>
      <c r="J2" t="s">
        <v>0</v>
      </c>
      <c r="K2" t="s">
        <v>1</v>
      </c>
      <c r="L2">
        <v>27478</v>
      </c>
      <c r="M2">
        <v>32</v>
      </c>
      <c r="N2">
        <v>8</v>
      </c>
      <c r="O2">
        <v>1199.454</v>
      </c>
      <c r="P2">
        <v>222.8</v>
      </c>
      <c r="Q2">
        <v>25</v>
      </c>
      <c r="R2">
        <v>4</v>
      </c>
      <c r="S2" t="s">
        <v>116</v>
      </c>
      <c r="T2">
        <v>8</v>
      </c>
      <c r="U2">
        <v>0</v>
      </c>
      <c r="V2">
        <v>4</v>
      </c>
      <c r="W2">
        <v>0</v>
      </c>
      <c r="X2">
        <v>0</v>
      </c>
      <c r="Y2" s="21">
        <f>SUM(Table1[[#This Row],[dty_type_cnt1]:[dty_type_cnt5]])</f>
        <v>12</v>
      </c>
    </row>
    <row r="3" spans="1:25" x14ac:dyDescent="0.25">
      <c r="A3" s="15">
        <v>46101</v>
      </c>
      <c r="B3" t="s">
        <v>430</v>
      </c>
      <c r="C3" t="s">
        <v>114</v>
      </c>
      <c r="D3" t="s">
        <v>46</v>
      </c>
      <c r="E3">
        <v>11</v>
      </c>
      <c r="F3" t="s">
        <v>62</v>
      </c>
      <c r="G3" t="s">
        <v>115</v>
      </c>
      <c r="H3" t="s">
        <v>60</v>
      </c>
      <c r="I3" t="s">
        <v>115</v>
      </c>
      <c r="J3" t="s">
        <v>63</v>
      </c>
      <c r="K3" t="s">
        <v>1</v>
      </c>
      <c r="L3">
        <v>27478</v>
      </c>
      <c r="M3">
        <v>65</v>
      </c>
      <c r="N3">
        <v>16</v>
      </c>
      <c r="O3">
        <v>1763.7439999999999</v>
      </c>
      <c r="P3">
        <v>96.1</v>
      </c>
      <c r="Q3">
        <v>30</v>
      </c>
      <c r="R3">
        <v>4</v>
      </c>
      <c r="S3" t="s">
        <v>116</v>
      </c>
      <c r="T3">
        <v>5</v>
      </c>
      <c r="U3">
        <v>4</v>
      </c>
      <c r="V3">
        <v>0</v>
      </c>
      <c r="W3">
        <v>0</v>
      </c>
      <c r="X3">
        <v>0</v>
      </c>
      <c r="Y3" s="20">
        <f>SUM(Table1[[#This Row],[dty_type_cnt1]:[dty_type_cnt5]])</f>
        <v>9</v>
      </c>
    </row>
    <row r="4" spans="1:25" x14ac:dyDescent="0.25">
      <c r="A4" s="15">
        <v>46101</v>
      </c>
      <c r="B4" t="s">
        <v>430</v>
      </c>
      <c r="C4" t="s">
        <v>114</v>
      </c>
      <c r="D4" t="s">
        <v>49</v>
      </c>
      <c r="E4" t="s">
        <v>142</v>
      </c>
      <c r="F4" t="s">
        <v>65</v>
      </c>
      <c r="G4" t="s">
        <v>115</v>
      </c>
      <c r="H4" t="s">
        <v>60</v>
      </c>
      <c r="I4" t="s">
        <v>115</v>
      </c>
      <c r="J4" t="s">
        <v>0</v>
      </c>
      <c r="K4" t="s">
        <v>1</v>
      </c>
      <c r="L4">
        <v>27478</v>
      </c>
      <c r="M4">
        <v>10</v>
      </c>
      <c r="N4">
        <v>2</v>
      </c>
      <c r="O4">
        <v>222.76599999999999</v>
      </c>
      <c r="P4">
        <v>65.900000000000006</v>
      </c>
      <c r="Q4">
        <v>25</v>
      </c>
      <c r="R4">
        <v>1</v>
      </c>
      <c r="S4" t="s">
        <v>116</v>
      </c>
      <c r="T4">
        <v>1</v>
      </c>
      <c r="U4">
        <v>1</v>
      </c>
      <c r="V4">
        <v>1</v>
      </c>
      <c r="W4">
        <v>0</v>
      </c>
      <c r="X4">
        <v>0</v>
      </c>
      <c r="Y4" s="20">
        <f>SUM(Table1[[#This Row],[dty_type_cnt1]:[dty_type_cnt5]])</f>
        <v>3</v>
      </c>
    </row>
    <row r="5" spans="1:25" x14ac:dyDescent="0.25">
      <c r="A5" s="15">
        <v>46101</v>
      </c>
      <c r="B5" t="s">
        <v>430</v>
      </c>
      <c r="C5" t="s">
        <v>114</v>
      </c>
      <c r="D5" t="s">
        <v>46</v>
      </c>
      <c r="E5" t="s">
        <v>64</v>
      </c>
      <c r="F5" t="s">
        <v>65</v>
      </c>
      <c r="G5" t="s">
        <v>115</v>
      </c>
      <c r="H5" t="s">
        <v>60</v>
      </c>
      <c r="I5" t="s">
        <v>115</v>
      </c>
      <c r="J5" t="s">
        <v>47</v>
      </c>
      <c r="K5" t="s">
        <v>1</v>
      </c>
      <c r="L5">
        <v>27478</v>
      </c>
      <c r="M5">
        <v>130</v>
      </c>
      <c r="N5">
        <v>38</v>
      </c>
      <c r="O5">
        <v>2221.4369999999999</v>
      </c>
      <c r="P5">
        <v>711.82399999999996</v>
      </c>
      <c r="Q5">
        <v>15</v>
      </c>
      <c r="R5">
        <v>14</v>
      </c>
      <c r="S5" t="s">
        <v>116</v>
      </c>
      <c r="T5">
        <v>12</v>
      </c>
      <c r="U5">
        <v>13</v>
      </c>
      <c r="V5">
        <v>2</v>
      </c>
      <c r="W5">
        <v>0</v>
      </c>
      <c r="X5">
        <v>0</v>
      </c>
      <c r="Y5" s="20">
        <f>SUM(Table1[[#This Row],[dty_type_cnt1]:[dty_type_cnt5]])</f>
        <v>27</v>
      </c>
    </row>
    <row r="6" spans="1:25" x14ac:dyDescent="0.25">
      <c r="A6" s="15">
        <v>46101</v>
      </c>
      <c r="B6" t="s">
        <v>430</v>
      </c>
      <c r="C6" t="s">
        <v>114</v>
      </c>
      <c r="D6" t="s">
        <v>46</v>
      </c>
      <c r="E6">
        <v>16</v>
      </c>
      <c r="F6" t="s">
        <v>110</v>
      </c>
      <c r="G6" t="s">
        <v>115</v>
      </c>
      <c r="H6" t="s">
        <v>60</v>
      </c>
      <c r="I6" t="s">
        <v>115</v>
      </c>
      <c r="J6" t="s">
        <v>63</v>
      </c>
      <c r="K6" t="s">
        <v>1</v>
      </c>
      <c r="L6">
        <v>27478</v>
      </c>
      <c r="M6">
        <v>35</v>
      </c>
      <c r="N6">
        <v>8</v>
      </c>
      <c r="O6">
        <v>1072.6569999999999</v>
      </c>
      <c r="P6">
        <v>92.5</v>
      </c>
      <c r="Q6">
        <v>55</v>
      </c>
      <c r="R6">
        <v>2</v>
      </c>
      <c r="S6" t="s">
        <v>116</v>
      </c>
      <c r="T6">
        <v>4</v>
      </c>
      <c r="U6">
        <v>2</v>
      </c>
      <c r="V6">
        <v>0</v>
      </c>
      <c r="W6">
        <v>0</v>
      </c>
      <c r="X6">
        <v>0</v>
      </c>
      <c r="Y6" s="20">
        <f>SUM(Table1[[#This Row],[dty_type_cnt1]:[dty_type_cnt5]])</f>
        <v>6</v>
      </c>
    </row>
    <row r="7" spans="1:25" x14ac:dyDescent="0.25">
      <c r="A7" s="15">
        <v>46101</v>
      </c>
      <c r="B7" t="s">
        <v>430</v>
      </c>
      <c r="C7" t="s">
        <v>114</v>
      </c>
      <c r="D7" t="s">
        <v>46</v>
      </c>
      <c r="E7">
        <v>17</v>
      </c>
      <c r="F7" t="s">
        <v>144</v>
      </c>
      <c r="G7" t="s">
        <v>115</v>
      </c>
      <c r="H7" t="s">
        <v>60</v>
      </c>
      <c r="I7" t="s">
        <v>115</v>
      </c>
      <c r="J7" t="s">
        <v>63</v>
      </c>
      <c r="K7" t="s">
        <v>1</v>
      </c>
      <c r="L7">
        <v>27478</v>
      </c>
      <c r="M7">
        <v>68</v>
      </c>
      <c r="N7">
        <v>16</v>
      </c>
      <c r="O7">
        <v>1671.5889999999999</v>
      </c>
      <c r="P7">
        <v>385</v>
      </c>
      <c r="Q7">
        <v>25</v>
      </c>
      <c r="R7">
        <v>8</v>
      </c>
      <c r="S7" t="s">
        <v>116</v>
      </c>
      <c r="T7">
        <v>9</v>
      </c>
      <c r="U7">
        <v>7</v>
      </c>
      <c r="V7">
        <v>2</v>
      </c>
      <c r="W7">
        <v>0</v>
      </c>
      <c r="X7">
        <v>0</v>
      </c>
      <c r="Y7" s="20">
        <f>SUM(Table1[[#This Row],[dty_type_cnt1]:[dty_type_cnt5]])</f>
        <v>18</v>
      </c>
    </row>
    <row r="8" spans="1:25" x14ac:dyDescent="0.25">
      <c r="A8" s="15">
        <v>46101</v>
      </c>
      <c r="B8" t="s">
        <v>430</v>
      </c>
      <c r="C8" t="s">
        <v>114</v>
      </c>
      <c r="D8" t="s">
        <v>46</v>
      </c>
      <c r="E8" t="s">
        <v>66</v>
      </c>
      <c r="F8" t="s">
        <v>67</v>
      </c>
      <c r="G8" t="s">
        <v>115</v>
      </c>
      <c r="H8" t="s">
        <v>60</v>
      </c>
      <c r="I8" t="s">
        <v>115</v>
      </c>
      <c r="J8" t="s">
        <v>0</v>
      </c>
      <c r="K8" t="s">
        <v>1</v>
      </c>
      <c r="L8">
        <v>27478</v>
      </c>
      <c r="M8">
        <v>36</v>
      </c>
      <c r="N8">
        <v>15</v>
      </c>
      <c r="O8">
        <v>1661.454</v>
      </c>
      <c r="P8">
        <v>55.95</v>
      </c>
      <c r="Q8">
        <v>0</v>
      </c>
      <c r="R8">
        <v>2</v>
      </c>
      <c r="S8" t="s">
        <v>116</v>
      </c>
      <c r="T8">
        <v>9</v>
      </c>
      <c r="U8">
        <v>4</v>
      </c>
      <c r="V8">
        <v>4</v>
      </c>
      <c r="W8">
        <v>0</v>
      </c>
      <c r="X8">
        <v>0</v>
      </c>
      <c r="Y8" s="20">
        <f>SUM(Table1[[#This Row],[dty_type_cnt1]:[dty_type_cnt5]])</f>
        <v>17</v>
      </c>
    </row>
    <row r="9" spans="1:25" x14ac:dyDescent="0.25">
      <c r="A9" s="15">
        <v>46101</v>
      </c>
      <c r="B9" t="s">
        <v>430</v>
      </c>
      <c r="C9" t="s">
        <v>114</v>
      </c>
      <c r="D9" t="s">
        <v>46</v>
      </c>
      <c r="E9" t="s">
        <v>68</v>
      </c>
      <c r="F9" t="s">
        <v>69</v>
      </c>
      <c r="G9" t="s">
        <v>115</v>
      </c>
      <c r="H9" t="s">
        <v>60</v>
      </c>
      <c r="I9" t="s">
        <v>115</v>
      </c>
      <c r="J9" t="s">
        <v>0</v>
      </c>
      <c r="K9" t="s">
        <v>1</v>
      </c>
      <c r="L9">
        <v>27478</v>
      </c>
      <c r="M9">
        <v>37</v>
      </c>
      <c r="N9">
        <v>17</v>
      </c>
      <c r="O9">
        <v>1699.1179999999999</v>
      </c>
      <c r="P9">
        <v>118.7</v>
      </c>
      <c r="Q9">
        <v>30</v>
      </c>
      <c r="R9">
        <v>6</v>
      </c>
      <c r="S9" t="s">
        <v>116</v>
      </c>
      <c r="T9">
        <v>0</v>
      </c>
      <c r="U9">
        <v>3</v>
      </c>
      <c r="V9">
        <v>3</v>
      </c>
      <c r="W9">
        <v>0</v>
      </c>
      <c r="X9">
        <v>0</v>
      </c>
      <c r="Y9" s="20">
        <f>SUM(Table1[[#This Row],[dty_type_cnt1]:[dty_type_cnt5]])</f>
        <v>6</v>
      </c>
    </row>
    <row r="10" spans="1:25" x14ac:dyDescent="0.25">
      <c r="A10" s="15">
        <v>46101</v>
      </c>
      <c r="B10" t="s">
        <v>430</v>
      </c>
      <c r="C10" t="s">
        <v>114</v>
      </c>
      <c r="D10" t="s">
        <v>46</v>
      </c>
      <c r="E10">
        <v>22</v>
      </c>
      <c r="F10" t="s">
        <v>70</v>
      </c>
      <c r="G10" t="s">
        <v>115</v>
      </c>
      <c r="H10" t="s">
        <v>60</v>
      </c>
      <c r="I10" t="s">
        <v>115</v>
      </c>
      <c r="J10" t="s">
        <v>0</v>
      </c>
      <c r="K10" t="s">
        <v>1</v>
      </c>
      <c r="L10">
        <v>27478</v>
      </c>
      <c r="M10">
        <v>50</v>
      </c>
      <c r="N10">
        <v>12</v>
      </c>
      <c r="O10">
        <v>733.25199999999995</v>
      </c>
      <c r="P10">
        <v>208.16</v>
      </c>
      <c r="Q10">
        <v>15</v>
      </c>
      <c r="R10">
        <v>4</v>
      </c>
      <c r="S10" t="s">
        <v>116</v>
      </c>
      <c r="T10">
        <v>4</v>
      </c>
      <c r="U10">
        <v>3</v>
      </c>
      <c r="V10">
        <v>1</v>
      </c>
      <c r="W10">
        <v>0</v>
      </c>
      <c r="X10">
        <v>0</v>
      </c>
      <c r="Y10" s="20">
        <f>SUM(Table1[[#This Row],[dty_type_cnt1]:[dty_type_cnt5]])</f>
        <v>8</v>
      </c>
    </row>
    <row r="11" spans="1:25" x14ac:dyDescent="0.25">
      <c r="A11" s="15">
        <v>46101</v>
      </c>
      <c r="B11" t="s">
        <v>430</v>
      </c>
      <c r="C11" t="s">
        <v>114</v>
      </c>
      <c r="D11" t="s">
        <v>46</v>
      </c>
      <c r="E11">
        <v>24</v>
      </c>
      <c r="F11" t="s">
        <v>71</v>
      </c>
      <c r="G11" t="s">
        <v>115</v>
      </c>
      <c r="H11" t="s">
        <v>60</v>
      </c>
      <c r="I11" t="s">
        <v>115</v>
      </c>
      <c r="J11" t="s">
        <v>47</v>
      </c>
      <c r="K11" t="s">
        <v>1</v>
      </c>
      <c r="L11">
        <v>27478</v>
      </c>
      <c r="M11">
        <v>108</v>
      </c>
      <c r="N11">
        <v>34</v>
      </c>
      <c r="O11">
        <v>1986.9649999999999</v>
      </c>
      <c r="P11">
        <v>578.45000000000005</v>
      </c>
      <c r="Q11">
        <v>15</v>
      </c>
      <c r="R11">
        <v>10</v>
      </c>
      <c r="S11" t="s">
        <v>116</v>
      </c>
      <c r="T11">
        <v>10</v>
      </c>
      <c r="U11">
        <v>9</v>
      </c>
      <c r="V11">
        <v>0</v>
      </c>
      <c r="W11">
        <v>0</v>
      </c>
      <c r="X11">
        <v>0</v>
      </c>
      <c r="Y11" s="20">
        <f>SUM(Table1[[#This Row],[dty_type_cnt1]:[dty_type_cnt5]])</f>
        <v>19</v>
      </c>
    </row>
    <row r="12" spans="1:25" x14ac:dyDescent="0.25">
      <c r="A12" s="15">
        <v>46101</v>
      </c>
      <c r="B12" t="s">
        <v>430</v>
      </c>
      <c r="C12" t="s">
        <v>114</v>
      </c>
      <c r="D12" t="s">
        <v>46</v>
      </c>
      <c r="E12">
        <v>31</v>
      </c>
      <c r="F12" t="s">
        <v>149</v>
      </c>
      <c r="G12" t="s">
        <v>115</v>
      </c>
      <c r="H12" t="s">
        <v>60</v>
      </c>
      <c r="I12" t="s">
        <v>115</v>
      </c>
      <c r="J12" t="s">
        <v>63</v>
      </c>
      <c r="K12" t="s">
        <v>1</v>
      </c>
      <c r="L12">
        <v>27478</v>
      </c>
      <c r="M12">
        <v>41</v>
      </c>
      <c r="N12">
        <v>10</v>
      </c>
      <c r="O12">
        <v>752.39099999999996</v>
      </c>
      <c r="P12">
        <v>83.5</v>
      </c>
      <c r="Q12">
        <v>20</v>
      </c>
      <c r="R12">
        <v>4</v>
      </c>
      <c r="S12" t="s">
        <v>116</v>
      </c>
      <c r="T12">
        <v>4</v>
      </c>
      <c r="U12">
        <v>4</v>
      </c>
      <c r="V12">
        <v>0</v>
      </c>
      <c r="W12">
        <v>0</v>
      </c>
      <c r="X12">
        <v>0</v>
      </c>
      <c r="Y12" s="20">
        <f>SUM(Table1[[#This Row],[dty_type_cnt1]:[dty_type_cnt5]])</f>
        <v>8</v>
      </c>
    </row>
    <row r="13" spans="1:25" x14ac:dyDescent="0.25">
      <c r="A13" s="15">
        <v>46101</v>
      </c>
      <c r="B13" t="s">
        <v>430</v>
      </c>
      <c r="C13" t="s">
        <v>114</v>
      </c>
      <c r="D13" t="s">
        <v>46</v>
      </c>
      <c r="E13">
        <v>310</v>
      </c>
      <c r="F13" t="s">
        <v>72</v>
      </c>
      <c r="G13" t="s">
        <v>115</v>
      </c>
      <c r="H13" t="s">
        <v>60</v>
      </c>
      <c r="I13" t="s">
        <v>115</v>
      </c>
      <c r="J13" t="s">
        <v>0</v>
      </c>
      <c r="K13" t="s">
        <v>1</v>
      </c>
      <c r="L13">
        <v>27478</v>
      </c>
      <c r="M13">
        <v>124</v>
      </c>
      <c r="N13">
        <v>34</v>
      </c>
      <c r="O13">
        <v>3623.5889999999999</v>
      </c>
      <c r="P13">
        <v>332.1</v>
      </c>
      <c r="Q13">
        <v>7</v>
      </c>
      <c r="R13">
        <v>11</v>
      </c>
      <c r="S13" t="s">
        <v>116</v>
      </c>
      <c r="T13">
        <v>11</v>
      </c>
      <c r="U13">
        <v>8</v>
      </c>
      <c r="V13">
        <v>3</v>
      </c>
      <c r="W13">
        <v>0</v>
      </c>
      <c r="X13">
        <v>0</v>
      </c>
      <c r="Y13" s="20">
        <f>SUM(Table1[[#This Row],[dty_type_cnt1]:[dty_type_cnt5]])</f>
        <v>22</v>
      </c>
    </row>
    <row r="14" spans="1:25" x14ac:dyDescent="0.25">
      <c r="A14" s="15">
        <v>46101</v>
      </c>
      <c r="B14" t="s">
        <v>430</v>
      </c>
      <c r="C14" t="s">
        <v>114</v>
      </c>
      <c r="D14" t="s">
        <v>46</v>
      </c>
      <c r="E14">
        <v>320</v>
      </c>
      <c r="F14" t="s">
        <v>73</v>
      </c>
      <c r="G14" t="s">
        <v>115</v>
      </c>
      <c r="H14" t="s">
        <v>60</v>
      </c>
      <c r="I14" t="s">
        <v>115</v>
      </c>
      <c r="J14" t="s">
        <v>0</v>
      </c>
      <c r="K14" t="s">
        <v>1</v>
      </c>
      <c r="L14">
        <v>27478</v>
      </c>
      <c r="M14">
        <v>102</v>
      </c>
      <c r="N14">
        <v>34</v>
      </c>
      <c r="O14">
        <v>3599.498</v>
      </c>
      <c r="P14">
        <v>320.39999999999998</v>
      </c>
      <c r="Q14">
        <v>11</v>
      </c>
      <c r="R14">
        <v>12</v>
      </c>
      <c r="S14" t="s">
        <v>116</v>
      </c>
      <c r="T14">
        <v>12</v>
      </c>
      <c r="U14">
        <v>8</v>
      </c>
      <c r="V14">
        <v>4</v>
      </c>
      <c r="W14">
        <v>0</v>
      </c>
      <c r="X14">
        <v>0</v>
      </c>
      <c r="Y14" s="20">
        <f>SUM(Table1[[#This Row],[dty_type_cnt1]:[dty_type_cnt5]])</f>
        <v>24</v>
      </c>
    </row>
    <row r="15" spans="1:25" x14ac:dyDescent="0.25">
      <c r="A15" s="15">
        <v>46101</v>
      </c>
      <c r="B15" t="s">
        <v>430</v>
      </c>
      <c r="C15" t="s">
        <v>114</v>
      </c>
      <c r="D15" t="s">
        <v>46</v>
      </c>
      <c r="E15" t="s">
        <v>137</v>
      </c>
      <c r="F15" t="s">
        <v>138</v>
      </c>
      <c r="G15" t="s">
        <v>115</v>
      </c>
      <c r="H15" t="s">
        <v>60</v>
      </c>
      <c r="I15" t="s">
        <v>115</v>
      </c>
      <c r="J15" t="s">
        <v>0</v>
      </c>
      <c r="K15" t="s">
        <v>1</v>
      </c>
      <c r="L15">
        <v>27478</v>
      </c>
      <c r="M15">
        <v>45</v>
      </c>
      <c r="N15">
        <v>11</v>
      </c>
      <c r="O15">
        <v>2299.6350000000002</v>
      </c>
      <c r="P15">
        <v>167.6</v>
      </c>
      <c r="Q15">
        <v>0</v>
      </c>
      <c r="R15">
        <v>5</v>
      </c>
      <c r="S15" t="s">
        <v>116</v>
      </c>
      <c r="T15">
        <v>8</v>
      </c>
      <c r="U15">
        <v>8</v>
      </c>
      <c r="V15">
        <v>1</v>
      </c>
      <c r="W15">
        <v>0</v>
      </c>
      <c r="X15">
        <v>0</v>
      </c>
      <c r="Y15" s="20">
        <f>SUM(Table1[[#This Row],[dty_type_cnt1]:[dty_type_cnt5]])</f>
        <v>17</v>
      </c>
    </row>
    <row r="16" spans="1:25" x14ac:dyDescent="0.25">
      <c r="A16" s="15">
        <v>46101</v>
      </c>
      <c r="B16" t="s">
        <v>430</v>
      </c>
      <c r="C16" t="s">
        <v>114</v>
      </c>
      <c r="D16" t="s">
        <v>46</v>
      </c>
      <c r="E16" t="s">
        <v>139</v>
      </c>
      <c r="F16" t="s">
        <v>140</v>
      </c>
      <c r="G16" t="s">
        <v>115</v>
      </c>
      <c r="H16" t="s">
        <v>60</v>
      </c>
      <c r="I16" t="s">
        <v>115</v>
      </c>
      <c r="J16" t="s">
        <v>0</v>
      </c>
      <c r="K16" t="s">
        <v>1</v>
      </c>
      <c r="L16">
        <v>27478</v>
      </c>
      <c r="M16">
        <v>47</v>
      </c>
      <c r="N16">
        <v>15</v>
      </c>
      <c r="O16">
        <v>2219.34</v>
      </c>
      <c r="P16">
        <v>237</v>
      </c>
      <c r="Q16">
        <v>20</v>
      </c>
      <c r="R16">
        <v>7</v>
      </c>
      <c r="S16" t="s">
        <v>116</v>
      </c>
      <c r="T16">
        <v>5</v>
      </c>
      <c r="U16">
        <v>2</v>
      </c>
      <c r="V16">
        <v>1</v>
      </c>
      <c r="W16">
        <v>0</v>
      </c>
      <c r="X16">
        <v>0</v>
      </c>
      <c r="Y16" s="20">
        <f>SUM(Table1[[#This Row],[dty_type_cnt1]:[dty_type_cnt5]])</f>
        <v>8</v>
      </c>
    </row>
    <row r="17" spans="1:25" x14ac:dyDescent="0.25">
      <c r="A17" s="15">
        <v>46101</v>
      </c>
      <c r="B17" t="s">
        <v>430</v>
      </c>
      <c r="C17" t="s">
        <v>114</v>
      </c>
      <c r="D17" t="s">
        <v>46</v>
      </c>
      <c r="E17">
        <v>43</v>
      </c>
      <c r="F17" t="s">
        <v>143</v>
      </c>
      <c r="G17" t="s">
        <v>115</v>
      </c>
      <c r="H17" t="s">
        <v>60</v>
      </c>
      <c r="I17" t="s">
        <v>115</v>
      </c>
      <c r="J17" t="s">
        <v>0</v>
      </c>
      <c r="K17" t="s">
        <v>1</v>
      </c>
      <c r="L17">
        <v>27478</v>
      </c>
      <c r="M17">
        <v>20</v>
      </c>
      <c r="N17">
        <v>4</v>
      </c>
      <c r="O17">
        <v>330.60300000000001</v>
      </c>
      <c r="P17">
        <v>131.80000000000001</v>
      </c>
      <c r="Q17">
        <v>30</v>
      </c>
      <c r="R17">
        <v>2</v>
      </c>
      <c r="S17" t="s">
        <v>116</v>
      </c>
      <c r="T17">
        <v>2</v>
      </c>
      <c r="U17">
        <v>2</v>
      </c>
      <c r="V17">
        <v>0</v>
      </c>
      <c r="W17">
        <v>0</v>
      </c>
      <c r="X17">
        <v>0</v>
      </c>
      <c r="Y17" s="20">
        <f>SUM(Table1[[#This Row],[dty_type_cnt1]:[dty_type_cnt5]])</f>
        <v>4</v>
      </c>
    </row>
    <row r="18" spans="1:25" x14ac:dyDescent="0.25">
      <c r="A18" s="15">
        <v>46101</v>
      </c>
      <c r="B18" t="s">
        <v>430</v>
      </c>
      <c r="C18" t="s">
        <v>114</v>
      </c>
      <c r="D18" t="s">
        <v>46</v>
      </c>
      <c r="E18">
        <v>44</v>
      </c>
      <c r="F18" t="s">
        <v>117</v>
      </c>
      <c r="G18" t="s">
        <v>115</v>
      </c>
      <c r="H18" t="s">
        <v>60</v>
      </c>
      <c r="I18" t="s">
        <v>115</v>
      </c>
      <c r="J18" t="s">
        <v>0</v>
      </c>
      <c r="K18" t="s">
        <v>1</v>
      </c>
      <c r="L18">
        <v>27478</v>
      </c>
      <c r="M18">
        <v>42</v>
      </c>
      <c r="N18">
        <v>16</v>
      </c>
      <c r="O18">
        <v>1341.6410000000001</v>
      </c>
      <c r="P18">
        <v>130.9</v>
      </c>
      <c r="Q18">
        <v>30</v>
      </c>
      <c r="R18">
        <v>5</v>
      </c>
      <c r="S18" t="s">
        <v>116</v>
      </c>
      <c r="T18">
        <v>6</v>
      </c>
      <c r="U18">
        <v>2</v>
      </c>
      <c r="V18">
        <v>3</v>
      </c>
      <c r="W18">
        <v>0</v>
      </c>
      <c r="X18">
        <v>0</v>
      </c>
      <c r="Y18" s="20">
        <f>SUM(Table1[[#This Row],[dty_type_cnt1]:[dty_type_cnt5]])</f>
        <v>11</v>
      </c>
    </row>
    <row r="19" spans="1:25" x14ac:dyDescent="0.25">
      <c r="A19" s="15">
        <v>46101</v>
      </c>
      <c r="B19" t="s">
        <v>430</v>
      </c>
      <c r="C19" t="s">
        <v>114</v>
      </c>
      <c r="D19" t="s">
        <v>46</v>
      </c>
      <c r="E19">
        <v>50</v>
      </c>
      <c r="F19" t="s">
        <v>118</v>
      </c>
      <c r="G19" t="s">
        <v>115</v>
      </c>
      <c r="H19" t="s">
        <v>60</v>
      </c>
      <c r="I19" t="s">
        <v>115</v>
      </c>
      <c r="J19" t="s">
        <v>0</v>
      </c>
      <c r="K19" t="s">
        <v>1</v>
      </c>
      <c r="L19">
        <v>27478</v>
      </c>
      <c r="M19">
        <v>86</v>
      </c>
      <c r="N19">
        <v>28</v>
      </c>
      <c r="O19">
        <v>3368.56</v>
      </c>
      <c r="P19">
        <v>393.65</v>
      </c>
      <c r="Q19">
        <v>20</v>
      </c>
      <c r="R19">
        <v>11</v>
      </c>
      <c r="S19" t="s">
        <v>116</v>
      </c>
      <c r="T19">
        <v>11</v>
      </c>
      <c r="U19">
        <v>10</v>
      </c>
      <c r="V19">
        <v>3</v>
      </c>
      <c r="W19">
        <v>0</v>
      </c>
      <c r="X19">
        <v>0</v>
      </c>
      <c r="Y19" s="20">
        <f>SUM(Table1[[#This Row],[dty_type_cnt1]:[dty_type_cnt5]])</f>
        <v>24</v>
      </c>
    </row>
    <row r="20" spans="1:25" x14ac:dyDescent="0.25">
      <c r="A20" s="15">
        <v>46101</v>
      </c>
      <c r="B20" t="s">
        <v>430</v>
      </c>
      <c r="C20" t="s">
        <v>114</v>
      </c>
      <c r="D20" t="s">
        <v>46</v>
      </c>
      <c r="E20">
        <v>53</v>
      </c>
      <c r="F20" t="s">
        <v>74</v>
      </c>
      <c r="G20" t="s">
        <v>115</v>
      </c>
      <c r="H20" t="s">
        <v>60</v>
      </c>
      <c r="I20" t="s">
        <v>115</v>
      </c>
      <c r="J20" t="s">
        <v>0</v>
      </c>
      <c r="K20" t="s">
        <v>1</v>
      </c>
      <c r="L20">
        <v>27478</v>
      </c>
      <c r="M20">
        <v>66</v>
      </c>
      <c r="N20">
        <v>14</v>
      </c>
      <c r="O20">
        <v>2181.5309999999999</v>
      </c>
      <c r="P20">
        <v>264.89999999999998</v>
      </c>
      <c r="Q20">
        <v>20</v>
      </c>
      <c r="R20">
        <v>7</v>
      </c>
      <c r="S20" t="s">
        <v>116</v>
      </c>
      <c r="T20">
        <v>7</v>
      </c>
      <c r="U20">
        <v>6</v>
      </c>
      <c r="V20">
        <v>2</v>
      </c>
      <c r="W20">
        <v>0</v>
      </c>
      <c r="X20">
        <v>0</v>
      </c>
      <c r="Y20" s="20">
        <f>SUM(Table1[[#This Row],[dty_type_cnt1]:[dty_type_cnt5]])</f>
        <v>15</v>
      </c>
    </row>
    <row r="21" spans="1:25" x14ac:dyDescent="0.25">
      <c r="A21" s="15">
        <v>46101</v>
      </c>
      <c r="B21" t="s">
        <v>430</v>
      </c>
      <c r="C21" t="s">
        <v>114</v>
      </c>
      <c r="D21" t="s">
        <v>46</v>
      </c>
      <c r="E21">
        <v>55</v>
      </c>
      <c r="F21" t="s">
        <v>48</v>
      </c>
      <c r="G21" t="s">
        <v>115</v>
      </c>
      <c r="H21" t="s">
        <v>60</v>
      </c>
      <c r="I21" t="s">
        <v>115</v>
      </c>
      <c r="J21" t="s">
        <v>0</v>
      </c>
      <c r="K21" t="s">
        <v>1</v>
      </c>
      <c r="L21">
        <v>27478</v>
      </c>
      <c r="M21">
        <v>68</v>
      </c>
      <c r="N21">
        <v>24</v>
      </c>
      <c r="O21">
        <v>1802.325</v>
      </c>
      <c r="P21">
        <v>281</v>
      </c>
      <c r="Q21">
        <v>20</v>
      </c>
      <c r="R21">
        <v>9</v>
      </c>
      <c r="S21" t="s">
        <v>116</v>
      </c>
      <c r="T21">
        <v>8</v>
      </c>
      <c r="U21">
        <v>4</v>
      </c>
      <c r="V21">
        <v>5</v>
      </c>
      <c r="W21">
        <v>0</v>
      </c>
      <c r="X21">
        <v>0</v>
      </c>
      <c r="Y21" s="20">
        <f>SUM(Table1[[#This Row],[dty_type_cnt1]:[dty_type_cnt5]])</f>
        <v>17</v>
      </c>
    </row>
    <row r="22" spans="1:25" x14ac:dyDescent="0.25">
      <c r="A22" s="15">
        <v>46101</v>
      </c>
      <c r="B22" t="s">
        <v>430</v>
      </c>
      <c r="C22" t="s">
        <v>114</v>
      </c>
      <c r="D22" t="s">
        <v>46</v>
      </c>
      <c r="E22">
        <v>64</v>
      </c>
      <c r="F22" t="s">
        <v>75</v>
      </c>
      <c r="G22" t="s">
        <v>115</v>
      </c>
      <c r="H22" t="s">
        <v>60</v>
      </c>
      <c r="I22" t="s">
        <v>115</v>
      </c>
      <c r="J22" t="s">
        <v>76</v>
      </c>
      <c r="K22" t="s">
        <v>1</v>
      </c>
      <c r="L22">
        <v>27478</v>
      </c>
      <c r="M22">
        <v>73</v>
      </c>
      <c r="N22">
        <v>30</v>
      </c>
      <c r="O22">
        <v>2413.9340000000002</v>
      </c>
      <c r="P22">
        <v>605.66200000000003</v>
      </c>
      <c r="Q22">
        <v>20</v>
      </c>
      <c r="R22">
        <v>11</v>
      </c>
      <c r="S22" t="s">
        <v>116</v>
      </c>
      <c r="T22">
        <v>11</v>
      </c>
      <c r="U22">
        <v>8</v>
      </c>
      <c r="V22">
        <v>2</v>
      </c>
      <c r="W22">
        <v>0</v>
      </c>
      <c r="X22">
        <v>0</v>
      </c>
      <c r="Y22" s="20">
        <f>SUM(Table1[[#This Row],[dty_type_cnt1]:[dty_type_cnt5]])</f>
        <v>21</v>
      </c>
    </row>
    <row r="23" spans="1:25" x14ac:dyDescent="0.25">
      <c r="A23" s="15">
        <v>46101</v>
      </c>
      <c r="B23" t="s">
        <v>430</v>
      </c>
      <c r="C23" t="s">
        <v>114</v>
      </c>
      <c r="D23" t="s">
        <v>46</v>
      </c>
      <c r="E23">
        <v>77</v>
      </c>
      <c r="F23" t="s">
        <v>150</v>
      </c>
      <c r="G23" t="s">
        <v>115</v>
      </c>
      <c r="H23" t="s">
        <v>60</v>
      </c>
      <c r="I23" t="s">
        <v>115</v>
      </c>
      <c r="J23" t="s">
        <v>0</v>
      </c>
      <c r="K23" t="s">
        <v>1</v>
      </c>
      <c r="L23">
        <v>27478</v>
      </c>
      <c r="M23">
        <v>90</v>
      </c>
      <c r="N23">
        <v>14</v>
      </c>
      <c r="O23">
        <v>1100.925</v>
      </c>
      <c r="P23">
        <v>287.89999999999998</v>
      </c>
      <c r="Q23">
        <v>20</v>
      </c>
      <c r="R23">
        <v>6</v>
      </c>
      <c r="S23" t="s">
        <v>116</v>
      </c>
      <c r="T23">
        <v>6</v>
      </c>
      <c r="U23">
        <v>5</v>
      </c>
      <c r="V23">
        <v>1</v>
      </c>
      <c r="W23">
        <v>0</v>
      </c>
      <c r="X23">
        <v>0</v>
      </c>
      <c r="Y23" s="20">
        <f>SUM(Table1[[#This Row],[dty_type_cnt1]:[dty_type_cnt5]])</f>
        <v>12</v>
      </c>
    </row>
    <row r="24" spans="1:25" x14ac:dyDescent="0.25">
      <c r="A24" s="15">
        <v>46101</v>
      </c>
      <c r="B24" t="s">
        <v>430</v>
      </c>
      <c r="C24" t="s">
        <v>114</v>
      </c>
      <c r="D24" t="s">
        <v>46</v>
      </c>
      <c r="E24">
        <v>88</v>
      </c>
      <c r="F24" t="s">
        <v>119</v>
      </c>
      <c r="G24" t="s">
        <v>115</v>
      </c>
      <c r="H24" t="s">
        <v>60</v>
      </c>
      <c r="I24" t="s">
        <v>115</v>
      </c>
      <c r="J24" t="s">
        <v>0</v>
      </c>
      <c r="K24" t="s">
        <v>1</v>
      </c>
      <c r="L24">
        <v>27478</v>
      </c>
      <c r="M24">
        <v>19</v>
      </c>
      <c r="N24">
        <v>6</v>
      </c>
      <c r="O24">
        <v>585.54300000000001</v>
      </c>
      <c r="P24">
        <v>159.1</v>
      </c>
      <c r="Q24">
        <v>30</v>
      </c>
      <c r="R24">
        <v>3</v>
      </c>
      <c r="S24" t="s">
        <v>116</v>
      </c>
      <c r="T24">
        <v>2</v>
      </c>
      <c r="U24">
        <v>3</v>
      </c>
      <c r="V24">
        <v>1</v>
      </c>
      <c r="W24">
        <v>0</v>
      </c>
      <c r="X24">
        <v>0</v>
      </c>
      <c r="Y24" s="20">
        <f>SUM(Table1[[#This Row],[dty_type_cnt1]:[dty_type_cnt5]])</f>
        <v>6</v>
      </c>
    </row>
    <row r="25" spans="1:25" x14ac:dyDescent="0.25">
      <c r="A25" s="15">
        <v>46101</v>
      </c>
      <c r="B25" t="s">
        <v>430</v>
      </c>
      <c r="C25" t="s">
        <v>114</v>
      </c>
      <c r="D25" t="s">
        <v>46</v>
      </c>
      <c r="E25" t="s">
        <v>120</v>
      </c>
      <c r="F25" t="s">
        <v>121</v>
      </c>
      <c r="G25" t="s">
        <v>115</v>
      </c>
      <c r="H25" t="s">
        <v>60</v>
      </c>
      <c r="I25" t="s">
        <v>115</v>
      </c>
      <c r="J25" t="s">
        <v>47</v>
      </c>
      <c r="K25" t="s">
        <v>1</v>
      </c>
      <c r="L25">
        <v>27478</v>
      </c>
      <c r="M25">
        <v>76</v>
      </c>
      <c r="N25">
        <v>12</v>
      </c>
      <c r="O25">
        <v>1294.2929999999999</v>
      </c>
      <c r="P25">
        <v>294</v>
      </c>
      <c r="Q25">
        <v>15</v>
      </c>
      <c r="R25">
        <v>6</v>
      </c>
      <c r="S25" t="s">
        <v>116</v>
      </c>
      <c r="T25">
        <v>6</v>
      </c>
      <c r="U25">
        <v>4</v>
      </c>
      <c r="V25">
        <v>7</v>
      </c>
      <c r="W25">
        <v>0</v>
      </c>
      <c r="X25">
        <v>0</v>
      </c>
      <c r="Y25" s="20">
        <f>SUM(Table1[[#This Row],[dty_type_cnt1]:[dty_type_cnt5]])</f>
        <v>17</v>
      </c>
    </row>
    <row r="26" spans="1:25" x14ac:dyDescent="0.25">
      <c r="A26" s="15">
        <v>46101</v>
      </c>
      <c r="B26" t="s">
        <v>430</v>
      </c>
      <c r="C26" t="s">
        <v>114</v>
      </c>
      <c r="D26" t="s">
        <v>46</v>
      </c>
      <c r="E26" t="s">
        <v>50</v>
      </c>
      <c r="F26" t="s">
        <v>51</v>
      </c>
      <c r="G26" t="s">
        <v>115</v>
      </c>
      <c r="H26" t="s">
        <v>60</v>
      </c>
      <c r="I26" t="s">
        <v>115</v>
      </c>
      <c r="J26" t="s">
        <v>0</v>
      </c>
      <c r="K26" t="s">
        <v>1</v>
      </c>
      <c r="L26">
        <v>27478</v>
      </c>
      <c r="M26">
        <v>30</v>
      </c>
      <c r="N26">
        <v>6</v>
      </c>
      <c r="O26">
        <v>676.54499999999996</v>
      </c>
      <c r="P26">
        <v>158.6</v>
      </c>
      <c r="Q26">
        <v>30</v>
      </c>
      <c r="R26">
        <v>3</v>
      </c>
      <c r="S26" t="s">
        <v>116</v>
      </c>
      <c r="T26">
        <v>3</v>
      </c>
      <c r="U26">
        <v>2</v>
      </c>
      <c r="V26">
        <v>2</v>
      </c>
      <c r="W26">
        <v>0</v>
      </c>
      <c r="X26">
        <v>0</v>
      </c>
      <c r="Y26" s="20">
        <f>SUM(Table1[[#This Row],[dty_type_cnt1]:[dty_type_cnt5]])</f>
        <v>7</v>
      </c>
    </row>
    <row r="27" spans="1:25" x14ac:dyDescent="0.25">
      <c r="A27" s="15">
        <v>46101</v>
      </c>
      <c r="B27" t="s">
        <v>430</v>
      </c>
      <c r="C27" t="s">
        <v>114</v>
      </c>
      <c r="D27" t="s">
        <v>46</v>
      </c>
      <c r="E27" t="s">
        <v>52</v>
      </c>
      <c r="F27" t="s">
        <v>53</v>
      </c>
      <c r="G27" t="s">
        <v>115</v>
      </c>
      <c r="H27" t="s">
        <v>60</v>
      </c>
      <c r="I27" t="s">
        <v>115</v>
      </c>
      <c r="J27" t="s">
        <v>0</v>
      </c>
      <c r="K27" t="s">
        <v>1</v>
      </c>
      <c r="L27">
        <v>27478</v>
      </c>
      <c r="M27">
        <v>94</v>
      </c>
      <c r="N27">
        <v>22</v>
      </c>
      <c r="O27">
        <v>2231.5369999999998</v>
      </c>
      <c r="P27">
        <v>624.75</v>
      </c>
      <c r="Q27">
        <v>15</v>
      </c>
      <c r="R27">
        <v>11</v>
      </c>
      <c r="S27" t="s">
        <v>116</v>
      </c>
      <c r="T27">
        <v>11</v>
      </c>
      <c r="U27">
        <v>7</v>
      </c>
      <c r="V27">
        <v>4</v>
      </c>
      <c r="W27">
        <v>0</v>
      </c>
      <c r="X27">
        <v>0</v>
      </c>
      <c r="Y27" s="20">
        <f>SUM(Table1[[#This Row],[dty_type_cnt1]:[dty_type_cnt5]])</f>
        <v>22</v>
      </c>
    </row>
    <row r="28" spans="1:25" x14ac:dyDescent="0.25">
      <c r="A28" s="15">
        <v>46101</v>
      </c>
      <c r="B28" t="s">
        <v>430</v>
      </c>
      <c r="C28" t="s">
        <v>114</v>
      </c>
      <c r="D28" t="s">
        <v>46</v>
      </c>
      <c r="E28" t="s">
        <v>122</v>
      </c>
      <c r="F28" t="s">
        <v>123</v>
      </c>
      <c r="G28" t="s">
        <v>115</v>
      </c>
      <c r="H28" t="s">
        <v>60</v>
      </c>
      <c r="I28" t="s">
        <v>115</v>
      </c>
      <c r="J28" t="s">
        <v>63</v>
      </c>
      <c r="K28" t="s">
        <v>1</v>
      </c>
      <c r="L28">
        <v>27478</v>
      </c>
      <c r="M28">
        <v>27</v>
      </c>
      <c r="N28">
        <v>6</v>
      </c>
      <c r="O28">
        <v>533.08799999999997</v>
      </c>
      <c r="P28">
        <v>140.69999999999999</v>
      </c>
      <c r="Q28">
        <v>30</v>
      </c>
      <c r="R28">
        <v>3</v>
      </c>
      <c r="S28" t="s">
        <v>116</v>
      </c>
      <c r="T28">
        <v>2</v>
      </c>
      <c r="U28">
        <v>3</v>
      </c>
      <c r="V28">
        <v>0</v>
      </c>
      <c r="W28">
        <v>0</v>
      </c>
      <c r="X28">
        <v>0</v>
      </c>
      <c r="Y28" s="20">
        <f>SUM(Table1[[#This Row],[dty_type_cnt1]:[dty_type_cnt5]])</f>
        <v>5</v>
      </c>
    </row>
    <row r="29" spans="1:25" x14ac:dyDescent="0.25">
      <c r="A29" s="15">
        <v>46101</v>
      </c>
      <c r="B29" t="s">
        <v>430</v>
      </c>
      <c r="C29" t="s">
        <v>114</v>
      </c>
      <c r="D29" t="s">
        <v>46</v>
      </c>
      <c r="E29" t="s">
        <v>124</v>
      </c>
      <c r="F29" t="s">
        <v>125</v>
      </c>
      <c r="G29" t="s">
        <v>115</v>
      </c>
      <c r="H29" t="s">
        <v>60</v>
      </c>
      <c r="I29" t="s">
        <v>115</v>
      </c>
      <c r="J29" t="s">
        <v>0</v>
      </c>
      <c r="K29" t="s">
        <v>1</v>
      </c>
      <c r="L29">
        <v>27478</v>
      </c>
      <c r="M29">
        <v>22</v>
      </c>
      <c r="N29">
        <v>4</v>
      </c>
      <c r="O29">
        <v>447.214</v>
      </c>
      <c r="P29">
        <v>97.6</v>
      </c>
      <c r="Q29">
        <v>30</v>
      </c>
      <c r="R29">
        <v>2</v>
      </c>
      <c r="S29" t="s">
        <v>116</v>
      </c>
      <c r="T29">
        <v>2</v>
      </c>
      <c r="U29">
        <v>2</v>
      </c>
      <c r="V29">
        <v>2</v>
      </c>
      <c r="W29">
        <v>0</v>
      </c>
      <c r="X29">
        <v>0</v>
      </c>
      <c r="Y29" s="20">
        <f>SUM(Table1[[#This Row],[dty_type_cnt1]:[dty_type_cnt5]])</f>
        <v>6</v>
      </c>
    </row>
    <row r="30" spans="1:25" x14ac:dyDescent="0.25">
      <c r="A30" s="15">
        <v>46101</v>
      </c>
      <c r="B30" t="s">
        <v>430</v>
      </c>
      <c r="C30" t="s">
        <v>114</v>
      </c>
      <c r="D30" t="s">
        <v>54</v>
      </c>
      <c r="E30" t="s">
        <v>79</v>
      </c>
      <c r="F30" t="s">
        <v>113</v>
      </c>
      <c r="G30" t="s">
        <v>115</v>
      </c>
      <c r="H30" t="s">
        <v>60</v>
      </c>
      <c r="I30" t="s">
        <v>115</v>
      </c>
      <c r="J30" t="s">
        <v>0</v>
      </c>
      <c r="K30" t="s">
        <v>1</v>
      </c>
      <c r="L30">
        <v>27478</v>
      </c>
      <c r="M30">
        <v>14</v>
      </c>
      <c r="N30">
        <v>4</v>
      </c>
      <c r="O30">
        <v>130.70500000000001</v>
      </c>
      <c r="P30">
        <v>50</v>
      </c>
      <c r="Q30">
        <v>20</v>
      </c>
      <c r="R30">
        <v>1</v>
      </c>
      <c r="S30" t="s">
        <v>116</v>
      </c>
      <c r="T30">
        <v>1</v>
      </c>
      <c r="U30">
        <v>0</v>
      </c>
      <c r="V30">
        <v>1</v>
      </c>
      <c r="W30">
        <v>0</v>
      </c>
      <c r="X30">
        <v>0</v>
      </c>
      <c r="Y30" s="20">
        <f>SUM(Table1[[#This Row],[dty_type_cnt1]:[dty_type_cnt5]])</f>
        <v>2</v>
      </c>
    </row>
    <row r="31" spans="1:25" x14ac:dyDescent="0.25">
      <c r="A31" s="15">
        <v>46101</v>
      </c>
      <c r="B31" t="s">
        <v>430</v>
      </c>
      <c r="C31" t="s">
        <v>114</v>
      </c>
      <c r="D31" t="s">
        <v>54</v>
      </c>
      <c r="E31" t="s">
        <v>82</v>
      </c>
      <c r="F31" t="s">
        <v>83</v>
      </c>
      <c r="G31" t="s">
        <v>115</v>
      </c>
      <c r="H31" t="s">
        <v>60</v>
      </c>
      <c r="I31" t="s">
        <v>115</v>
      </c>
      <c r="J31" t="s">
        <v>0</v>
      </c>
      <c r="K31" t="s">
        <v>1</v>
      </c>
      <c r="L31">
        <v>27478</v>
      </c>
      <c r="M31">
        <v>33</v>
      </c>
      <c r="N31">
        <v>6</v>
      </c>
      <c r="O31">
        <v>895.02599999999995</v>
      </c>
      <c r="P31">
        <v>63</v>
      </c>
      <c r="Q31">
        <v>30</v>
      </c>
      <c r="R31">
        <v>1</v>
      </c>
      <c r="S31" t="s">
        <v>116</v>
      </c>
      <c r="T31">
        <v>2</v>
      </c>
      <c r="U31">
        <v>1</v>
      </c>
      <c r="V31">
        <v>0</v>
      </c>
      <c r="W31">
        <v>0</v>
      </c>
      <c r="X31">
        <v>0</v>
      </c>
      <c r="Y31" s="20">
        <f>SUM(Table1[[#This Row],[dty_type_cnt1]:[dty_type_cnt5]])</f>
        <v>3</v>
      </c>
    </row>
    <row r="32" spans="1:25" x14ac:dyDescent="0.25">
      <c r="A32" s="15">
        <v>46101</v>
      </c>
      <c r="B32" t="s">
        <v>430</v>
      </c>
      <c r="C32" t="s">
        <v>114</v>
      </c>
      <c r="D32" t="s">
        <v>54</v>
      </c>
      <c r="E32" t="s">
        <v>84</v>
      </c>
      <c r="F32" t="s">
        <v>148</v>
      </c>
      <c r="G32" t="s">
        <v>115</v>
      </c>
      <c r="H32" t="s">
        <v>60</v>
      </c>
      <c r="I32" t="s">
        <v>115</v>
      </c>
      <c r="J32" t="s">
        <v>0</v>
      </c>
      <c r="K32" t="s">
        <v>1</v>
      </c>
      <c r="L32">
        <v>27478</v>
      </c>
      <c r="M32">
        <v>55</v>
      </c>
      <c r="N32">
        <v>16</v>
      </c>
      <c r="O32">
        <v>853.14599999999996</v>
      </c>
      <c r="P32">
        <v>334.4</v>
      </c>
      <c r="Q32">
        <v>15</v>
      </c>
      <c r="R32">
        <v>6</v>
      </c>
      <c r="S32" t="s">
        <v>116</v>
      </c>
      <c r="T32">
        <v>5</v>
      </c>
      <c r="U32">
        <v>4</v>
      </c>
      <c r="V32">
        <v>2</v>
      </c>
      <c r="W32">
        <v>0</v>
      </c>
      <c r="X32">
        <v>0</v>
      </c>
      <c r="Y32" s="20">
        <f>SUM(Table1[[#This Row],[dty_type_cnt1]:[dty_type_cnt5]])</f>
        <v>11</v>
      </c>
    </row>
    <row r="33" spans="1:25" x14ac:dyDescent="0.25">
      <c r="A33" s="15">
        <v>46101</v>
      </c>
      <c r="B33" t="s">
        <v>430</v>
      </c>
      <c r="C33" t="s">
        <v>114</v>
      </c>
      <c r="D33" t="s">
        <v>54</v>
      </c>
      <c r="E33" t="s">
        <v>85</v>
      </c>
      <c r="F33" t="s">
        <v>86</v>
      </c>
      <c r="G33" t="s">
        <v>115</v>
      </c>
      <c r="H33" t="s">
        <v>60</v>
      </c>
      <c r="I33" t="s">
        <v>115</v>
      </c>
      <c r="J33" t="s">
        <v>63</v>
      </c>
      <c r="K33" t="s">
        <v>1</v>
      </c>
      <c r="L33">
        <v>27478</v>
      </c>
      <c r="M33">
        <v>73</v>
      </c>
      <c r="N33">
        <v>14</v>
      </c>
      <c r="O33">
        <v>1847.9090000000001</v>
      </c>
      <c r="P33">
        <v>180.7</v>
      </c>
      <c r="Q33">
        <v>30</v>
      </c>
      <c r="R33">
        <v>7</v>
      </c>
      <c r="S33" t="s">
        <v>116</v>
      </c>
      <c r="T33">
        <v>5</v>
      </c>
      <c r="U33">
        <v>4</v>
      </c>
      <c r="V33">
        <v>3</v>
      </c>
      <c r="W33">
        <v>0</v>
      </c>
      <c r="X33">
        <v>0</v>
      </c>
      <c r="Y33" s="20">
        <f>SUM(Table1[[#This Row],[dty_type_cnt1]:[dty_type_cnt5]])</f>
        <v>12</v>
      </c>
    </row>
    <row r="34" spans="1:25" x14ac:dyDescent="0.25">
      <c r="A34" s="15">
        <v>46101</v>
      </c>
      <c r="B34" t="s">
        <v>430</v>
      </c>
      <c r="C34" t="s">
        <v>114</v>
      </c>
      <c r="D34" t="s">
        <v>54</v>
      </c>
      <c r="E34" t="s">
        <v>87</v>
      </c>
      <c r="F34" t="s">
        <v>88</v>
      </c>
      <c r="G34" t="s">
        <v>115</v>
      </c>
      <c r="H34" t="s">
        <v>60</v>
      </c>
      <c r="I34" t="s">
        <v>115</v>
      </c>
      <c r="J34" t="s">
        <v>63</v>
      </c>
      <c r="K34" t="s">
        <v>1</v>
      </c>
      <c r="L34">
        <v>27478</v>
      </c>
      <c r="M34">
        <v>79</v>
      </c>
      <c r="N34">
        <v>14</v>
      </c>
      <c r="O34">
        <v>784.10699999999997</v>
      </c>
      <c r="P34">
        <v>123.9</v>
      </c>
      <c r="Q34">
        <v>10</v>
      </c>
      <c r="R34">
        <v>4</v>
      </c>
      <c r="S34" t="s">
        <v>116</v>
      </c>
      <c r="T34">
        <v>7</v>
      </c>
      <c r="U34">
        <v>4</v>
      </c>
      <c r="V34">
        <v>2</v>
      </c>
      <c r="W34">
        <v>0</v>
      </c>
      <c r="X34">
        <v>0</v>
      </c>
      <c r="Y34" s="20">
        <f>SUM(Table1[[#This Row],[dty_type_cnt1]:[dty_type_cnt5]])</f>
        <v>13</v>
      </c>
    </row>
    <row r="35" spans="1:25" x14ac:dyDescent="0.25">
      <c r="A35" s="15">
        <v>46101</v>
      </c>
      <c r="B35" t="s">
        <v>430</v>
      </c>
      <c r="C35" t="s">
        <v>114</v>
      </c>
      <c r="D35" t="s">
        <v>54</v>
      </c>
      <c r="E35" t="s">
        <v>89</v>
      </c>
      <c r="F35" t="s">
        <v>90</v>
      </c>
      <c r="G35" t="s">
        <v>115</v>
      </c>
      <c r="H35" t="s">
        <v>60</v>
      </c>
      <c r="I35" t="s">
        <v>115</v>
      </c>
      <c r="J35" t="s">
        <v>0</v>
      </c>
      <c r="K35" t="s">
        <v>1</v>
      </c>
      <c r="L35">
        <v>27478</v>
      </c>
      <c r="M35">
        <v>77</v>
      </c>
      <c r="N35">
        <v>14</v>
      </c>
      <c r="O35">
        <v>2011.4659999999999</v>
      </c>
      <c r="P35">
        <v>123.49</v>
      </c>
      <c r="Q35">
        <v>20</v>
      </c>
      <c r="R35">
        <v>7</v>
      </c>
      <c r="S35" t="s">
        <v>116</v>
      </c>
      <c r="T35">
        <v>7</v>
      </c>
      <c r="U35">
        <v>6</v>
      </c>
      <c r="V35">
        <v>2</v>
      </c>
      <c r="W35">
        <v>0</v>
      </c>
      <c r="X35">
        <v>0</v>
      </c>
      <c r="Y35" s="20">
        <f>SUM(Table1[[#This Row],[dty_type_cnt1]:[dty_type_cnt5]])</f>
        <v>15</v>
      </c>
    </row>
    <row r="36" spans="1:25" x14ac:dyDescent="0.25">
      <c r="A36" s="15">
        <v>46101</v>
      </c>
      <c r="B36" t="s">
        <v>430</v>
      </c>
      <c r="C36" t="s">
        <v>114</v>
      </c>
      <c r="D36" t="s">
        <v>54</v>
      </c>
      <c r="E36" t="s">
        <v>91</v>
      </c>
      <c r="F36" t="s">
        <v>126</v>
      </c>
      <c r="G36" t="s">
        <v>115</v>
      </c>
      <c r="H36" t="s">
        <v>60</v>
      </c>
      <c r="I36" t="s">
        <v>115</v>
      </c>
      <c r="J36" t="s">
        <v>76</v>
      </c>
      <c r="K36" t="s">
        <v>1</v>
      </c>
      <c r="L36">
        <v>27478</v>
      </c>
      <c r="M36">
        <v>191</v>
      </c>
      <c r="N36">
        <v>22</v>
      </c>
      <c r="O36">
        <v>947.24599999999998</v>
      </c>
      <c r="P36">
        <v>387.2</v>
      </c>
      <c r="Q36">
        <v>9</v>
      </c>
      <c r="R36">
        <v>7</v>
      </c>
      <c r="S36" t="s">
        <v>116</v>
      </c>
      <c r="T36">
        <v>9</v>
      </c>
      <c r="U36">
        <v>4</v>
      </c>
      <c r="V36">
        <v>3</v>
      </c>
      <c r="W36">
        <v>0</v>
      </c>
      <c r="X36">
        <v>0</v>
      </c>
      <c r="Y36" s="20">
        <f>SUM(Table1[[#This Row],[dty_type_cnt1]:[dty_type_cnt5]])</f>
        <v>16</v>
      </c>
    </row>
    <row r="37" spans="1:25" x14ac:dyDescent="0.25">
      <c r="A37" s="15">
        <v>46101</v>
      </c>
      <c r="B37" t="s">
        <v>430</v>
      </c>
      <c r="C37" t="s">
        <v>114</v>
      </c>
      <c r="D37" t="s">
        <v>54</v>
      </c>
      <c r="E37" t="s">
        <v>94</v>
      </c>
      <c r="F37" t="s">
        <v>127</v>
      </c>
      <c r="G37" t="s">
        <v>115</v>
      </c>
      <c r="H37" t="s">
        <v>60</v>
      </c>
      <c r="I37" t="s">
        <v>115</v>
      </c>
      <c r="J37" t="s">
        <v>76</v>
      </c>
      <c r="K37" t="s">
        <v>1</v>
      </c>
      <c r="L37">
        <v>27478</v>
      </c>
      <c r="M37">
        <v>171</v>
      </c>
      <c r="N37">
        <v>29</v>
      </c>
      <c r="O37">
        <v>938.74300000000005</v>
      </c>
      <c r="P37">
        <v>482.4</v>
      </c>
      <c r="Q37">
        <v>8</v>
      </c>
      <c r="R37">
        <v>8</v>
      </c>
      <c r="S37" t="s">
        <v>116</v>
      </c>
      <c r="T37">
        <v>7</v>
      </c>
      <c r="U37">
        <v>3</v>
      </c>
      <c r="V37">
        <v>6</v>
      </c>
      <c r="W37">
        <v>0</v>
      </c>
      <c r="X37">
        <v>0</v>
      </c>
      <c r="Y37" s="20">
        <f>SUM(Table1[[#This Row],[dty_type_cnt1]:[dty_type_cnt5]])</f>
        <v>16</v>
      </c>
    </row>
    <row r="38" spans="1:25" x14ac:dyDescent="0.25">
      <c r="A38" s="15">
        <v>46101</v>
      </c>
      <c r="B38" t="s">
        <v>430</v>
      </c>
      <c r="C38" t="s">
        <v>114</v>
      </c>
      <c r="D38" t="s">
        <v>54</v>
      </c>
      <c r="E38" t="s">
        <v>128</v>
      </c>
      <c r="F38" t="s">
        <v>129</v>
      </c>
      <c r="G38" t="s">
        <v>115</v>
      </c>
      <c r="H38" t="s">
        <v>60</v>
      </c>
      <c r="I38" t="s">
        <v>115</v>
      </c>
      <c r="J38" t="s">
        <v>0</v>
      </c>
      <c r="K38" t="s">
        <v>1</v>
      </c>
      <c r="L38">
        <v>27478</v>
      </c>
      <c r="M38">
        <v>76</v>
      </c>
      <c r="N38">
        <v>10</v>
      </c>
      <c r="O38">
        <v>1368</v>
      </c>
      <c r="P38">
        <v>177.4</v>
      </c>
      <c r="Q38">
        <v>30</v>
      </c>
      <c r="R38">
        <v>5</v>
      </c>
      <c r="S38" t="s">
        <v>116</v>
      </c>
      <c r="T38">
        <v>7</v>
      </c>
      <c r="U38">
        <v>3</v>
      </c>
      <c r="V38">
        <v>4</v>
      </c>
      <c r="W38">
        <v>0</v>
      </c>
      <c r="X38">
        <v>0</v>
      </c>
      <c r="Y38" s="20">
        <f>SUM(Table1[[#This Row],[dty_type_cnt1]:[dty_type_cnt5]])</f>
        <v>14</v>
      </c>
    </row>
    <row r="39" spans="1:25" x14ac:dyDescent="0.25">
      <c r="A39" s="15">
        <v>46101</v>
      </c>
      <c r="B39" t="s">
        <v>430</v>
      </c>
      <c r="C39" t="s">
        <v>114</v>
      </c>
      <c r="D39" t="s">
        <v>54</v>
      </c>
      <c r="E39" t="s">
        <v>130</v>
      </c>
      <c r="F39" t="s">
        <v>131</v>
      </c>
      <c r="G39" t="s">
        <v>115</v>
      </c>
      <c r="H39" t="s">
        <v>60</v>
      </c>
      <c r="I39" t="s">
        <v>115</v>
      </c>
      <c r="J39" t="s">
        <v>63</v>
      </c>
      <c r="K39" t="s">
        <v>1</v>
      </c>
      <c r="L39">
        <v>27478</v>
      </c>
      <c r="M39">
        <v>76</v>
      </c>
      <c r="N39">
        <v>6</v>
      </c>
      <c r="O39">
        <v>782.07799999999997</v>
      </c>
      <c r="P39">
        <v>87.9</v>
      </c>
      <c r="Q39">
        <v>30</v>
      </c>
      <c r="R39">
        <v>3</v>
      </c>
      <c r="S39" t="s">
        <v>116</v>
      </c>
      <c r="T39">
        <v>4</v>
      </c>
      <c r="U39">
        <v>2</v>
      </c>
      <c r="V39">
        <v>2</v>
      </c>
      <c r="W39">
        <v>0</v>
      </c>
      <c r="X39">
        <v>0</v>
      </c>
      <c r="Y39" s="20">
        <f>SUM(Table1[[#This Row],[dty_type_cnt1]:[dty_type_cnt5]])</f>
        <v>8</v>
      </c>
    </row>
    <row r="40" spans="1:25" x14ac:dyDescent="0.25">
      <c r="A40" s="15">
        <v>46101</v>
      </c>
      <c r="B40" t="s">
        <v>430</v>
      </c>
      <c r="C40" t="s">
        <v>114</v>
      </c>
      <c r="D40" t="s">
        <v>54</v>
      </c>
      <c r="E40" t="s">
        <v>95</v>
      </c>
      <c r="F40" t="s">
        <v>96</v>
      </c>
      <c r="G40" t="s">
        <v>115</v>
      </c>
      <c r="H40" t="s">
        <v>60</v>
      </c>
      <c r="I40" t="s">
        <v>115</v>
      </c>
      <c r="J40" t="s">
        <v>0</v>
      </c>
      <c r="K40" t="s">
        <v>1</v>
      </c>
      <c r="L40">
        <v>27478</v>
      </c>
      <c r="M40">
        <v>31</v>
      </c>
      <c r="N40">
        <v>5</v>
      </c>
      <c r="O40">
        <v>517.12099999999998</v>
      </c>
      <c r="P40">
        <v>27.4</v>
      </c>
      <c r="Q40">
        <v>25</v>
      </c>
      <c r="R40">
        <v>2</v>
      </c>
      <c r="S40" t="s">
        <v>116</v>
      </c>
      <c r="T40">
        <v>2</v>
      </c>
      <c r="U40">
        <v>2</v>
      </c>
      <c r="V40">
        <v>1</v>
      </c>
      <c r="W40">
        <v>0</v>
      </c>
      <c r="X40">
        <v>0</v>
      </c>
      <c r="Y40" s="20">
        <f>SUM(Table1[[#This Row],[dty_type_cnt1]:[dty_type_cnt5]])</f>
        <v>5</v>
      </c>
    </row>
    <row r="41" spans="1:25" x14ac:dyDescent="0.25">
      <c r="A41" s="15">
        <v>46101</v>
      </c>
      <c r="B41" t="s">
        <v>430</v>
      </c>
      <c r="C41" t="s">
        <v>114</v>
      </c>
      <c r="D41" t="s">
        <v>54</v>
      </c>
      <c r="E41" t="s">
        <v>97</v>
      </c>
      <c r="F41" t="s">
        <v>98</v>
      </c>
      <c r="G41" t="s">
        <v>115</v>
      </c>
      <c r="H41" t="s">
        <v>60</v>
      </c>
      <c r="I41" t="s">
        <v>115</v>
      </c>
      <c r="J41" t="s">
        <v>0</v>
      </c>
      <c r="K41" t="s">
        <v>1</v>
      </c>
      <c r="L41">
        <v>27478</v>
      </c>
      <c r="M41">
        <v>33</v>
      </c>
      <c r="N41">
        <v>5</v>
      </c>
      <c r="O41">
        <v>852.23500000000001</v>
      </c>
      <c r="P41">
        <v>39.799999999999997</v>
      </c>
      <c r="Q41">
        <v>30</v>
      </c>
      <c r="R41">
        <v>2</v>
      </c>
      <c r="S41" t="s">
        <v>116</v>
      </c>
      <c r="T41">
        <v>3</v>
      </c>
      <c r="U41">
        <v>0</v>
      </c>
      <c r="V41">
        <v>2</v>
      </c>
      <c r="W41">
        <v>0</v>
      </c>
      <c r="X41">
        <v>0</v>
      </c>
      <c r="Y41" s="20">
        <f>SUM(Table1[[#This Row],[dty_type_cnt1]:[dty_type_cnt5]])</f>
        <v>5</v>
      </c>
    </row>
    <row r="42" spans="1:25" x14ac:dyDescent="0.25">
      <c r="A42" s="15">
        <v>46101</v>
      </c>
      <c r="B42" t="s">
        <v>430</v>
      </c>
      <c r="C42" t="s">
        <v>114</v>
      </c>
      <c r="D42" t="s">
        <v>54</v>
      </c>
      <c r="E42" t="s">
        <v>109</v>
      </c>
      <c r="F42" t="s">
        <v>151</v>
      </c>
      <c r="G42" t="s">
        <v>115</v>
      </c>
      <c r="H42" t="s">
        <v>60</v>
      </c>
      <c r="I42" t="s">
        <v>115</v>
      </c>
      <c r="J42" t="s">
        <v>0</v>
      </c>
      <c r="K42" t="s">
        <v>1</v>
      </c>
      <c r="L42">
        <v>27478</v>
      </c>
      <c r="M42">
        <v>86</v>
      </c>
      <c r="N42">
        <v>16</v>
      </c>
      <c r="O42">
        <v>1556.4280000000001</v>
      </c>
      <c r="P42">
        <v>256</v>
      </c>
      <c r="Q42">
        <v>20</v>
      </c>
      <c r="R42">
        <v>6</v>
      </c>
      <c r="S42" t="s">
        <v>116</v>
      </c>
      <c r="T42">
        <v>9</v>
      </c>
      <c r="U42">
        <v>3</v>
      </c>
      <c r="V42">
        <v>3</v>
      </c>
      <c r="W42">
        <v>0</v>
      </c>
      <c r="X42">
        <v>0</v>
      </c>
      <c r="Y42" s="20">
        <f>SUM(Table1[[#This Row],[dty_type_cnt1]:[dty_type_cnt5]])</f>
        <v>15</v>
      </c>
    </row>
    <row r="43" spans="1:25" x14ac:dyDescent="0.25">
      <c r="A43" s="15">
        <v>46101</v>
      </c>
      <c r="B43" t="s">
        <v>430</v>
      </c>
      <c r="C43" t="s">
        <v>114</v>
      </c>
      <c r="D43" t="s">
        <v>54</v>
      </c>
      <c r="E43" t="s">
        <v>132</v>
      </c>
      <c r="F43" t="s">
        <v>133</v>
      </c>
      <c r="G43" t="s">
        <v>115</v>
      </c>
      <c r="H43" t="s">
        <v>60</v>
      </c>
      <c r="I43" t="s">
        <v>115</v>
      </c>
      <c r="J43" t="s">
        <v>0</v>
      </c>
      <c r="K43" t="s">
        <v>1</v>
      </c>
      <c r="L43">
        <v>27478</v>
      </c>
      <c r="M43">
        <v>14</v>
      </c>
      <c r="N43">
        <v>2</v>
      </c>
      <c r="O43">
        <v>93.254000000000005</v>
      </c>
      <c r="P43">
        <v>50</v>
      </c>
      <c r="Q43">
        <v>20</v>
      </c>
      <c r="R43">
        <v>1</v>
      </c>
      <c r="S43" t="s">
        <v>116</v>
      </c>
      <c r="T43">
        <v>1</v>
      </c>
      <c r="U43">
        <v>1</v>
      </c>
      <c r="V43">
        <v>0</v>
      </c>
      <c r="W43">
        <v>0</v>
      </c>
      <c r="X43">
        <v>0</v>
      </c>
      <c r="Y43" s="20">
        <f>SUM(Table1[[#This Row],[dty_type_cnt1]:[dty_type_cnt5]])</f>
        <v>2</v>
      </c>
    </row>
    <row r="44" spans="1:25" x14ac:dyDescent="0.25">
      <c r="A44" s="15">
        <v>46101</v>
      </c>
      <c r="B44" t="s">
        <v>430</v>
      </c>
      <c r="C44" t="s">
        <v>114</v>
      </c>
      <c r="D44" t="s">
        <v>54</v>
      </c>
      <c r="E44" t="s">
        <v>99</v>
      </c>
      <c r="F44" t="s">
        <v>100</v>
      </c>
      <c r="G44" t="s">
        <v>115</v>
      </c>
      <c r="H44" t="s">
        <v>60</v>
      </c>
      <c r="I44" t="s">
        <v>115</v>
      </c>
      <c r="J44" t="s">
        <v>63</v>
      </c>
      <c r="K44" t="s">
        <v>1</v>
      </c>
      <c r="L44">
        <v>27478</v>
      </c>
      <c r="M44">
        <v>32</v>
      </c>
      <c r="N44">
        <v>8</v>
      </c>
      <c r="O44">
        <v>437.52</v>
      </c>
      <c r="P44">
        <v>161</v>
      </c>
      <c r="Q44">
        <v>20</v>
      </c>
      <c r="R44">
        <v>3</v>
      </c>
      <c r="S44" t="s">
        <v>116</v>
      </c>
      <c r="T44">
        <v>3</v>
      </c>
      <c r="U44">
        <v>2</v>
      </c>
      <c r="V44">
        <v>2</v>
      </c>
      <c r="W44">
        <v>0</v>
      </c>
      <c r="X44">
        <v>0</v>
      </c>
      <c r="Y44" s="20">
        <f>SUM(Table1[[#This Row],[dty_type_cnt1]:[dty_type_cnt5]])</f>
        <v>7</v>
      </c>
    </row>
    <row r="45" spans="1:25" x14ac:dyDescent="0.25">
      <c r="A45" s="15">
        <v>46101</v>
      </c>
      <c r="B45" t="s">
        <v>430</v>
      </c>
      <c r="C45" t="s">
        <v>114</v>
      </c>
      <c r="D45" t="s">
        <v>49</v>
      </c>
      <c r="E45" t="s">
        <v>105</v>
      </c>
      <c r="F45" t="s">
        <v>152</v>
      </c>
      <c r="G45" t="s">
        <v>115</v>
      </c>
      <c r="H45" t="s">
        <v>60</v>
      </c>
      <c r="I45" t="s">
        <v>115</v>
      </c>
      <c r="J45" t="s">
        <v>76</v>
      </c>
      <c r="K45" t="s">
        <v>1</v>
      </c>
      <c r="L45">
        <v>27478</v>
      </c>
      <c r="M45">
        <v>53</v>
      </c>
      <c r="N45">
        <v>16</v>
      </c>
      <c r="O45">
        <v>1639.7329999999999</v>
      </c>
      <c r="P45">
        <v>214.4</v>
      </c>
      <c r="Q45">
        <v>20</v>
      </c>
      <c r="R45">
        <v>6</v>
      </c>
      <c r="S45" t="s">
        <v>116</v>
      </c>
      <c r="T45">
        <v>6</v>
      </c>
      <c r="U45">
        <v>5</v>
      </c>
      <c r="V45">
        <v>1</v>
      </c>
      <c r="W45">
        <v>0</v>
      </c>
      <c r="X45">
        <v>0</v>
      </c>
      <c r="Y45" s="20">
        <f>SUM(Table1[[#This Row],[dty_type_cnt1]:[dty_type_cnt5]])</f>
        <v>12</v>
      </c>
    </row>
    <row r="46" spans="1:25" x14ac:dyDescent="0.25">
      <c r="A46" s="15">
        <v>46101</v>
      </c>
      <c r="B46" t="s">
        <v>430</v>
      </c>
      <c r="C46" t="s">
        <v>114</v>
      </c>
      <c r="D46" t="s">
        <v>49</v>
      </c>
      <c r="E46" t="s">
        <v>106</v>
      </c>
      <c r="F46" t="s">
        <v>107</v>
      </c>
      <c r="G46" t="s">
        <v>115</v>
      </c>
      <c r="H46" t="s">
        <v>60</v>
      </c>
      <c r="I46" t="s">
        <v>115</v>
      </c>
      <c r="J46" t="s">
        <v>0</v>
      </c>
      <c r="K46" t="s">
        <v>1</v>
      </c>
      <c r="L46">
        <v>27478</v>
      </c>
      <c r="M46">
        <v>48</v>
      </c>
      <c r="N46">
        <v>28</v>
      </c>
      <c r="O46">
        <v>1396.153</v>
      </c>
      <c r="P46">
        <v>477.3</v>
      </c>
      <c r="Q46">
        <v>30</v>
      </c>
      <c r="R46">
        <v>7</v>
      </c>
      <c r="S46" t="s">
        <v>116</v>
      </c>
      <c r="T46">
        <v>7</v>
      </c>
      <c r="U46">
        <v>5</v>
      </c>
      <c r="V46">
        <v>2</v>
      </c>
      <c r="W46">
        <v>0</v>
      </c>
      <c r="X46">
        <v>0</v>
      </c>
      <c r="Y46" s="20">
        <f>SUM(Table1[[#This Row],[dty_type_cnt1]:[dty_type_cnt5]])</f>
        <v>14</v>
      </c>
    </row>
    <row r="47" spans="1:25" x14ac:dyDescent="0.25">
      <c r="A47" s="15">
        <v>46102</v>
      </c>
      <c r="B47" t="s">
        <v>430</v>
      </c>
      <c r="C47" t="s">
        <v>114</v>
      </c>
      <c r="D47" t="s">
        <v>46</v>
      </c>
      <c r="E47">
        <v>8</v>
      </c>
      <c r="F47" t="s">
        <v>61</v>
      </c>
      <c r="G47" t="s">
        <v>115</v>
      </c>
      <c r="H47" t="s">
        <v>60</v>
      </c>
      <c r="I47" t="s">
        <v>115</v>
      </c>
      <c r="J47" t="s">
        <v>0</v>
      </c>
      <c r="K47" t="s">
        <v>2</v>
      </c>
      <c r="L47">
        <v>27477</v>
      </c>
      <c r="M47">
        <v>32</v>
      </c>
      <c r="N47">
        <v>8</v>
      </c>
      <c r="O47">
        <v>1199.454</v>
      </c>
      <c r="P47">
        <v>223.2</v>
      </c>
      <c r="Q47">
        <v>30</v>
      </c>
      <c r="R47">
        <v>4</v>
      </c>
      <c r="S47" t="s">
        <v>116</v>
      </c>
      <c r="T47">
        <v>6</v>
      </c>
      <c r="U47">
        <v>3</v>
      </c>
      <c r="V47">
        <v>1</v>
      </c>
      <c r="W47">
        <v>0</v>
      </c>
      <c r="X47">
        <v>0</v>
      </c>
      <c r="Y47" s="20">
        <f>SUM(Table1[[#This Row],[dty_type_cnt1]:[dty_type_cnt5]])</f>
        <v>10</v>
      </c>
    </row>
    <row r="48" spans="1:25" x14ac:dyDescent="0.25">
      <c r="A48" s="15">
        <v>46102</v>
      </c>
      <c r="B48" t="s">
        <v>430</v>
      </c>
      <c r="C48" t="s">
        <v>114</v>
      </c>
      <c r="D48" t="s">
        <v>46</v>
      </c>
      <c r="E48">
        <v>11</v>
      </c>
      <c r="F48" t="s">
        <v>62</v>
      </c>
      <c r="G48" t="s">
        <v>115</v>
      </c>
      <c r="H48" t="s">
        <v>60</v>
      </c>
      <c r="I48" t="s">
        <v>115</v>
      </c>
      <c r="J48" t="s">
        <v>63</v>
      </c>
      <c r="K48" t="s">
        <v>2</v>
      </c>
      <c r="L48">
        <v>27477</v>
      </c>
      <c r="M48">
        <v>66</v>
      </c>
      <c r="N48">
        <v>16</v>
      </c>
      <c r="O48">
        <v>1790.6880000000001</v>
      </c>
      <c r="P48">
        <v>103.5</v>
      </c>
      <c r="Q48">
        <v>30</v>
      </c>
      <c r="R48">
        <v>4</v>
      </c>
      <c r="S48" t="s">
        <v>116</v>
      </c>
      <c r="T48">
        <v>4</v>
      </c>
      <c r="U48">
        <v>4</v>
      </c>
      <c r="V48">
        <v>0</v>
      </c>
      <c r="W48">
        <v>0</v>
      </c>
      <c r="X48">
        <v>0</v>
      </c>
      <c r="Y48" s="20">
        <f>SUM(Table1[[#This Row],[dty_type_cnt1]:[dty_type_cnt5]])</f>
        <v>8</v>
      </c>
    </row>
    <row r="49" spans="1:25" x14ac:dyDescent="0.25">
      <c r="A49" s="15">
        <v>46102</v>
      </c>
      <c r="B49" t="s">
        <v>430</v>
      </c>
      <c r="C49" t="s">
        <v>114</v>
      </c>
      <c r="D49" t="s">
        <v>46</v>
      </c>
      <c r="E49" t="s">
        <v>64</v>
      </c>
      <c r="F49" t="s">
        <v>65</v>
      </c>
      <c r="G49" t="s">
        <v>115</v>
      </c>
      <c r="H49" t="s">
        <v>60</v>
      </c>
      <c r="I49" t="s">
        <v>115</v>
      </c>
      <c r="J49" t="s">
        <v>47</v>
      </c>
      <c r="K49" t="s">
        <v>2</v>
      </c>
      <c r="L49">
        <v>27477</v>
      </c>
      <c r="M49">
        <v>122</v>
      </c>
      <c r="N49">
        <v>30</v>
      </c>
      <c r="O49">
        <v>2087.7420000000002</v>
      </c>
      <c r="P49">
        <v>628.86199999999997</v>
      </c>
      <c r="Q49">
        <v>15</v>
      </c>
      <c r="R49">
        <v>14</v>
      </c>
      <c r="S49" t="s">
        <v>116</v>
      </c>
      <c r="T49">
        <v>11</v>
      </c>
      <c r="U49">
        <v>13</v>
      </c>
      <c r="V49">
        <v>2</v>
      </c>
      <c r="W49">
        <v>0</v>
      </c>
      <c r="X49">
        <v>0</v>
      </c>
      <c r="Y49" s="20">
        <f>SUM(Table1[[#This Row],[dty_type_cnt1]:[dty_type_cnt5]])</f>
        <v>26</v>
      </c>
    </row>
    <row r="50" spans="1:25" x14ac:dyDescent="0.25">
      <c r="A50" s="15">
        <v>46102</v>
      </c>
      <c r="B50" t="s">
        <v>430</v>
      </c>
      <c r="C50" t="s">
        <v>114</v>
      </c>
      <c r="D50" t="s">
        <v>46</v>
      </c>
      <c r="E50">
        <v>16</v>
      </c>
      <c r="F50" t="s">
        <v>110</v>
      </c>
      <c r="G50" t="s">
        <v>115</v>
      </c>
      <c r="H50" t="s">
        <v>60</v>
      </c>
      <c r="I50" t="s">
        <v>115</v>
      </c>
      <c r="J50" t="s">
        <v>63</v>
      </c>
      <c r="K50" t="s">
        <v>2</v>
      </c>
      <c r="L50">
        <v>27477</v>
      </c>
      <c r="M50">
        <v>37</v>
      </c>
      <c r="N50">
        <v>8</v>
      </c>
      <c r="O50">
        <v>1135.799</v>
      </c>
      <c r="P50">
        <v>96.3</v>
      </c>
      <c r="Q50">
        <v>65</v>
      </c>
      <c r="R50">
        <v>4</v>
      </c>
      <c r="S50" t="s">
        <v>116</v>
      </c>
      <c r="T50">
        <v>4</v>
      </c>
      <c r="U50">
        <v>1</v>
      </c>
      <c r="V50">
        <v>2</v>
      </c>
      <c r="W50">
        <v>0</v>
      </c>
      <c r="X50">
        <v>0</v>
      </c>
      <c r="Y50" s="20">
        <f>SUM(Table1[[#This Row],[dty_type_cnt1]:[dty_type_cnt5]])</f>
        <v>7</v>
      </c>
    </row>
    <row r="51" spans="1:25" x14ac:dyDescent="0.25">
      <c r="A51" s="15">
        <v>46102</v>
      </c>
      <c r="B51" t="s">
        <v>430</v>
      </c>
      <c r="C51" t="s">
        <v>114</v>
      </c>
      <c r="D51" t="s">
        <v>46</v>
      </c>
      <c r="E51">
        <v>17</v>
      </c>
      <c r="F51" t="s">
        <v>144</v>
      </c>
      <c r="G51" t="s">
        <v>115</v>
      </c>
      <c r="H51" t="s">
        <v>60</v>
      </c>
      <c r="I51" t="s">
        <v>115</v>
      </c>
      <c r="J51" t="s">
        <v>63</v>
      </c>
      <c r="K51" t="s">
        <v>2</v>
      </c>
      <c r="L51">
        <v>27477</v>
      </c>
      <c r="M51">
        <v>68</v>
      </c>
      <c r="N51">
        <v>16</v>
      </c>
      <c r="O51">
        <v>1671.5889999999999</v>
      </c>
      <c r="P51">
        <v>385</v>
      </c>
      <c r="Q51">
        <v>30</v>
      </c>
      <c r="R51">
        <v>8</v>
      </c>
      <c r="S51" t="s">
        <v>116</v>
      </c>
      <c r="T51">
        <v>9</v>
      </c>
      <c r="U51">
        <v>8</v>
      </c>
      <c r="V51">
        <v>0</v>
      </c>
      <c r="W51">
        <v>0</v>
      </c>
      <c r="X51">
        <v>0</v>
      </c>
      <c r="Y51" s="20">
        <f>SUM(Table1[[#This Row],[dty_type_cnt1]:[dty_type_cnt5]])</f>
        <v>17</v>
      </c>
    </row>
    <row r="52" spans="1:25" x14ac:dyDescent="0.25">
      <c r="A52" s="15">
        <v>46102</v>
      </c>
      <c r="B52" t="s">
        <v>430</v>
      </c>
      <c r="C52" t="s">
        <v>114</v>
      </c>
      <c r="D52" t="s">
        <v>46</v>
      </c>
      <c r="E52" t="s">
        <v>66</v>
      </c>
      <c r="F52" t="s">
        <v>67</v>
      </c>
      <c r="G52" t="s">
        <v>115</v>
      </c>
      <c r="H52" t="s">
        <v>60</v>
      </c>
      <c r="I52" t="s">
        <v>115</v>
      </c>
      <c r="J52" t="s">
        <v>0</v>
      </c>
      <c r="K52" t="s">
        <v>2</v>
      </c>
      <c r="L52">
        <v>27477</v>
      </c>
      <c r="M52">
        <v>31</v>
      </c>
      <c r="N52">
        <v>5</v>
      </c>
      <c r="O52">
        <v>1430.6969999999999</v>
      </c>
      <c r="P52">
        <v>27.35</v>
      </c>
      <c r="Q52">
        <v>0</v>
      </c>
      <c r="R52">
        <v>1</v>
      </c>
      <c r="S52" t="s">
        <v>116</v>
      </c>
      <c r="T52">
        <v>5</v>
      </c>
      <c r="U52">
        <v>3</v>
      </c>
      <c r="V52">
        <v>1</v>
      </c>
      <c r="W52">
        <v>0</v>
      </c>
      <c r="X52">
        <v>0</v>
      </c>
      <c r="Y52" s="20">
        <f>SUM(Table1[[#This Row],[dty_type_cnt1]:[dty_type_cnt5]])</f>
        <v>9</v>
      </c>
    </row>
    <row r="53" spans="1:25" x14ac:dyDescent="0.25">
      <c r="A53" s="15">
        <v>46102</v>
      </c>
      <c r="B53" t="s">
        <v>430</v>
      </c>
      <c r="C53" t="s">
        <v>114</v>
      </c>
      <c r="D53" t="s">
        <v>46</v>
      </c>
      <c r="E53" t="s">
        <v>68</v>
      </c>
      <c r="F53" t="s">
        <v>69</v>
      </c>
      <c r="G53" t="s">
        <v>115</v>
      </c>
      <c r="H53" t="s">
        <v>60</v>
      </c>
      <c r="I53" t="s">
        <v>115</v>
      </c>
      <c r="J53" t="s">
        <v>0</v>
      </c>
      <c r="K53" t="s">
        <v>2</v>
      </c>
      <c r="L53">
        <v>27477</v>
      </c>
      <c r="M53">
        <v>32</v>
      </c>
      <c r="N53">
        <v>7</v>
      </c>
      <c r="O53">
        <v>1469.5070000000001</v>
      </c>
      <c r="P53">
        <v>67</v>
      </c>
      <c r="Q53">
        <v>30</v>
      </c>
      <c r="R53">
        <v>5</v>
      </c>
      <c r="S53" t="s">
        <v>116</v>
      </c>
      <c r="T53">
        <v>3</v>
      </c>
      <c r="U53">
        <v>1</v>
      </c>
      <c r="V53">
        <v>2</v>
      </c>
      <c r="W53">
        <v>0</v>
      </c>
      <c r="X53">
        <v>0</v>
      </c>
      <c r="Y53" s="20">
        <f>SUM(Table1[[#This Row],[dty_type_cnt1]:[dty_type_cnt5]])</f>
        <v>6</v>
      </c>
    </row>
    <row r="54" spans="1:25" x14ac:dyDescent="0.25">
      <c r="A54" s="15">
        <v>46102</v>
      </c>
      <c r="B54" t="s">
        <v>430</v>
      </c>
      <c r="C54" t="s">
        <v>114</v>
      </c>
      <c r="D54" t="s">
        <v>46</v>
      </c>
      <c r="E54">
        <v>22</v>
      </c>
      <c r="F54" t="s">
        <v>70</v>
      </c>
      <c r="G54" t="s">
        <v>115</v>
      </c>
      <c r="H54" t="s">
        <v>60</v>
      </c>
      <c r="I54" t="s">
        <v>115</v>
      </c>
      <c r="J54" t="s">
        <v>0</v>
      </c>
      <c r="K54" t="s">
        <v>2</v>
      </c>
      <c r="L54">
        <v>27477</v>
      </c>
      <c r="M54">
        <v>32</v>
      </c>
      <c r="N54">
        <v>4</v>
      </c>
      <c r="O54">
        <v>437.65</v>
      </c>
      <c r="P54">
        <v>93.8</v>
      </c>
      <c r="Q54">
        <v>25</v>
      </c>
      <c r="R54">
        <v>2</v>
      </c>
      <c r="S54" t="s">
        <v>116</v>
      </c>
      <c r="T54">
        <v>2</v>
      </c>
      <c r="U54">
        <v>2</v>
      </c>
      <c r="V54">
        <v>0</v>
      </c>
      <c r="W54">
        <v>0</v>
      </c>
      <c r="X54">
        <v>0</v>
      </c>
      <c r="Y54" s="20">
        <f>SUM(Table1[[#This Row],[dty_type_cnt1]:[dty_type_cnt5]])</f>
        <v>4</v>
      </c>
    </row>
    <row r="55" spans="1:25" x14ac:dyDescent="0.25">
      <c r="A55" s="15">
        <v>46102</v>
      </c>
      <c r="B55" t="s">
        <v>430</v>
      </c>
      <c r="C55" t="s">
        <v>114</v>
      </c>
      <c r="D55" t="s">
        <v>46</v>
      </c>
      <c r="E55">
        <v>24</v>
      </c>
      <c r="F55" t="s">
        <v>71</v>
      </c>
      <c r="G55" t="s">
        <v>115</v>
      </c>
      <c r="H55" t="s">
        <v>60</v>
      </c>
      <c r="I55" t="s">
        <v>115</v>
      </c>
      <c r="J55" t="s">
        <v>47</v>
      </c>
      <c r="K55" t="s">
        <v>2</v>
      </c>
      <c r="L55">
        <v>27477</v>
      </c>
      <c r="M55">
        <v>81</v>
      </c>
      <c r="N55">
        <v>20</v>
      </c>
      <c r="O55">
        <v>1487.4010000000001</v>
      </c>
      <c r="P55">
        <v>369.35</v>
      </c>
      <c r="Q55">
        <v>20</v>
      </c>
      <c r="R55">
        <v>7</v>
      </c>
      <c r="S55" t="s">
        <v>116</v>
      </c>
      <c r="T55">
        <v>7</v>
      </c>
      <c r="U55">
        <v>6</v>
      </c>
      <c r="V55">
        <v>1</v>
      </c>
      <c r="W55">
        <v>0</v>
      </c>
      <c r="X55">
        <v>0</v>
      </c>
      <c r="Y55" s="20">
        <f>SUM(Table1[[#This Row],[dty_type_cnt1]:[dty_type_cnt5]])</f>
        <v>14</v>
      </c>
    </row>
    <row r="56" spans="1:25" x14ac:dyDescent="0.25">
      <c r="A56" s="15">
        <v>46102</v>
      </c>
      <c r="B56" t="s">
        <v>430</v>
      </c>
      <c r="C56" t="s">
        <v>114</v>
      </c>
      <c r="D56" t="s">
        <v>46</v>
      </c>
      <c r="E56">
        <v>31</v>
      </c>
      <c r="F56" t="s">
        <v>149</v>
      </c>
      <c r="G56" t="s">
        <v>115</v>
      </c>
      <c r="H56" t="s">
        <v>60</v>
      </c>
      <c r="I56" t="s">
        <v>115</v>
      </c>
      <c r="J56" t="s">
        <v>63</v>
      </c>
      <c r="K56" t="s">
        <v>2</v>
      </c>
      <c r="L56">
        <v>27477</v>
      </c>
      <c r="M56">
        <v>41</v>
      </c>
      <c r="N56">
        <v>10</v>
      </c>
      <c r="O56">
        <v>752.39099999999996</v>
      </c>
      <c r="P56">
        <v>83.5</v>
      </c>
      <c r="Q56">
        <v>20</v>
      </c>
      <c r="R56">
        <v>4</v>
      </c>
      <c r="S56" t="s">
        <v>116</v>
      </c>
      <c r="T56">
        <v>4</v>
      </c>
      <c r="U56">
        <v>4</v>
      </c>
      <c r="V56">
        <v>0</v>
      </c>
      <c r="W56">
        <v>0</v>
      </c>
      <c r="X56">
        <v>0</v>
      </c>
      <c r="Y56" s="20">
        <f>SUM(Table1[[#This Row],[dty_type_cnt1]:[dty_type_cnt5]])</f>
        <v>8</v>
      </c>
    </row>
    <row r="57" spans="1:25" x14ac:dyDescent="0.25">
      <c r="A57" s="15">
        <v>46102</v>
      </c>
      <c r="B57" t="s">
        <v>430</v>
      </c>
      <c r="C57" t="s">
        <v>114</v>
      </c>
      <c r="D57" t="s">
        <v>46</v>
      </c>
      <c r="E57">
        <v>310</v>
      </c>
      <c r="F57" t="s">
        <v>72</v>
      </c>
      <c r="G57" t="s">
        <v>115</v>
      </c>
      <c r="H57" t="s">
        <v>60</v>
      </c>
      <c r="I57" t="s">
        <v>115</v>
      </c>
      <c r="J57" t="s">
        <v>0</v>
      </c>
      <c r="K57" t="s">
        <v>2</v>
      </c>
      <c r="L57">
        <v>27477</v>
      </c>
      <c r="M57">
        <v>99</v>
      </c>
      <c r="N57">
        <v>20</v>
      </c>
      <c r="O57">
        <v>2917.9929999999999</v>
      </c>
      <c r="P57">
        <v>205.3</v>
      </c>
      <c r="Q57">
        <v>9</v>
      </c>
      <c r="R57">
        <v>9</v>
      </c>
      <c r="S57" t="s">
        <v>116</v>
      </c>
      <c r="T57">
        <v>6</v>
      </c>
      <c r="U57">
        <v>9</v>
      </c>
      <c r="V57">
        <v>0</v>
      </c>
      <c r="W57">
        <v>0</v>
      </c>
      <c r="X57">
        <v>0</v>
      </c>
      <c r="Y57" s="20">
        <f>SUM(Table1[[#This Row],[dty_type_cnt1]:[dty_type_cnt5]])</f>
        <v>15</v>
      </c>
    </row>
    <row r="58" spans="1:25" x14ac:dyDescent="0.25">
      <c r="A58" s="15">
        <v>46102</v>
      </c>
      <c r="B58" t="s">
        <v>430</v>
      </c>
      <c r="C58" t="s">
        <v>114</v>
      </c>
      <c r="D58" t="s">
        <v>46</v>
      </c>
      <c r="E58">
        <v>320</v>
      </c>
      <c r="F58" t="s">
        <v>73</v>
      </c>
      <c r="G58" t="s">
        <v>115</v>
      </c>
      <c r="H58" t="s">
        <v>60</v>
      </c>
      <c r="I58" t="s">
        <v>115</v>
      </c>
      <c r="J58" t="s">
        <v>0</v>
      </c>
      <c r="K58" t="s">
        <v>2</v>
      </c>
      <c r="L58">
        <v>27477</v>
      </c>
      <c r="M58">
        <v>102</v>
      </c>
      <c r="N58">
        <v>28</v>
      </c>
      <c r="O58">
        <v>3597.0050000000001</v>
      </c>
      <c r="P58">
        <v>287.3</v>
      </c>
      <c r="Q58">
        <v>20</v>
      </c>
      <c r="R58">
        <v>11</v>
      </c>
      <c r="S58" t="s">
        <v>116</v>
      </c>
      <c r="T58">
        <v>10</v>
      </c>
      <c r="U58">
        <v>10</v>
      </c>
      <c r="V58">
        <v>1</v>
      </c>
      <c r="W58">
        <v>0</v>
      </c>
      <c r="X58">
        <v>0</v>
      </c>
      <c r="Y58" s="20">
        <f>SUM(Table1[[#This Row],[dty_type_cnt1]:[dty_type_cnt5]])</f>
        <v>21</v>
      </c>
    </row>
    <row r="59" spans="1:25" x14ac:dyDescent="0.25">
      <c r="A59" s="15">
        <v>46102</v>
      </c>
      <c r="B59" t="s">
        <v>430</v>
      </c>
      <c r="C59" t="s">
        <v>114</v>
      </c>
      <c r="D59" t="s">
        <v>46</v>
      </c>
      <c r="E59" t="s">
        <v>137</v>
      </c>
      <c r="F59" t="s">
        <v>138</v>
      </c>
      <c r="G59" t="s">
        <v>115</v>
      </c>
      <c r="H59" t="s">
        <v>60</v>
      </c>
      <c r="I59" t="s">
        <v>115</v>
      </c>
      <c r="J59" t="s">
        <v>0</v>
      </c>
      <c r="K59" t="s">
        <v>2</v>
      </c>
      <c r="L59">
        <v>27477</v>
      </c>
      <c r="M59">
        <v>30</v>
      </c>
      <c r="N59">
        <v>10</v>
      </c>
      <c r="O59">
        <v>1533.09</v>
      </c>
      <c r="P59">
        <v>140</v>
      </c>
      <c r="Q59">
        <v>0</v>
      </c>
      <c r="R59">
        <v>7</v>
      </c>
      <c r="S59" t="s">
        <v>116</v>
      </c>
      <c r="T59">
        <v>5</v>
      </c>
      <c r="U59">
        <v>7</v>
      </c>
      <c r="V59">
        <v>0</v>
      </c>
      <c r="W59">
        <v>0</v>
      </c>
      <c r="X59">
        <v>0</v>
      </c>
      <c r="Y59" s="20">
        <f>SUM(Table1[[#This Row],[dty_type_cnt1]:[dty_type_cnt5]])</f>
        <v>12</v>
      </c>
    </row>
    <row r="60" spans="1:25" x14ac:dyDescent="0.25">
      <c r="A60" s="15">
        <v>46102</v>
      </c>
      <c r="B60" t="s">
        <v>430</v>
      </c>
      <c r="C60" t="s">
        <v>114</v>
      </c>
      <c r="D60" t="s">
        <v>46</v>
      </c>
      <c r="E60" t="s">
        <v>139</v>
      </c>
      <c r="F60" t="s">
        <v>140</v>
      </c>
      <c r="G60" t="s">
        <v>115</v>
      </c>
      <c r="H60" t="s">
        <v>60</v>
      </c>
      <c r="I60" t="s">
        <v>115</v>
      </c>
      <c r="J60" t="s">
        <v>0</v>
      </c>
      <c r="K60" t="s">
        <v>2</v>
      </c>
      <c r="L60">
        <v>27477</v>
      </c>
      <c r="M60">
        <v>31</v>
      </c>
      <c r="N60">
        <v>12</v>
      </c>
      <c r="O60">
        <v>1463.82</v>
      </c>
      <c r="P60">
        <v>180</v>
      </c>
      <c r="Q60">
        <v>20</v>
      </c>
      <c r="R60">
        <v>4</v>
      </c>
      <c r="S60" t="s">
        <v>116</v>
      </c>
      <c r="T60">
        <v>2</v>
      </c>
      <c r="U60">
        <v>4</v>
      </c>
      <c r="V60">
        <v>0</v>
      </c>
      <c r="W60">
        <v>0</v>
      </c>
      <c r="X60">
        <v>0</v>
      </c>
      <c r="Y60" s="20">
        <f>SUM(Table1[[#This Row],[dty_type_cnt1]:[dty_type_cnt5]])</f>
        <v>6</v>
      </c>
    </row>
    <row r="61" spans="1:25" x14ac:dyDescent="0.25">
      <c r="A61" s="15">
        <v>46102</v>
      </c>
      <c r="B61" t="s">
        <v>430</v>
      </c>
      <c r="C61" t="s">
        <v>114</v>
      </c>
      <c r="D61" t="s">
        <v>46</v>
      </c>
      <c r="E61">
        <v>44</v>
      </c>
      <c r="F61" t="s">
        <v>117</v>
      </c>
      <c r="G61" t="s">
        <v>115</v>
      </c>
      <c r="H61" t="s">
        <v>60</v>
      </c>
      <c r="I61" t="s">
        <v>115</v>
      </c>
      <c r="J61" t="s">
        <v>0</v>
      </c>
      <c r="K61" t="s">
        <v>2</v>
      </c>
      <c r="L61">
        <v>27477</v>
      </c>
      <c r="M61">
        <v>46</v>
      </c>
      <c r="N61">
        <v>18</v>
      </c>
      <c r="O61">
        <v>1469.1020000000001</v>
      </c>
      <c r="P61">
        <v>234.9</v>
      </c>
      <c r="Q61">
        <v>30</v>
      </c>
      <c r="R61">
        <v>6</v>
      </c>
      <c r="S61" t="s">
        <v>116</v>
      </c>
      <c r="T61">
        <v>6</v>
      </c>
      <c r="U61">
        <v>3</v>
      </c>
      <c r="V61">
        <v>3</v>
      </c>
      <c r="W61">
        <v>0</v>
      </c>
      <c r="X61">
        <v>0</v>
      </c>
      <c r="Y61" s="20">
        <f>SUM(Table1[[#This Row],[dty_type_cnt1]:[dty_type_cnt5]])</f>
        <v>12</v>
      </c>
    </row>
    <row r="62" spans="1:25" x14ac:dyDescent="0.25">
      <c r="A62" s="15">
        <v>46102</v>
      </c>
      <c r="B62" t="s">
        <v>430</v>
      </c>
      <c r="C62" t="s">
        <v>114</v>
      </c>
      <c r="D62" t="s">
        <v>46</v>
      </c>
      <c r="E62">
        <v>50</v>
      </c>
      <c r="F62" t="s">
        <v>118</v>
      </c>
      <c r="G62" t="s">
        <v>115</v>
      </c>
      <c r="H62" t="s">
        <v>60</v>
      </c>
      <c r="I62" t="s">
        <v>115</v>
      </c>
      <c r="J62" t="s">
        <v>0</v>
      </c>
      <c r="K62" t="s">
        <v>2</v>
      </c>
      <c r="L62">
        <v>27477</v>
      </c>
      <c r="M62">
        <v>34</v>
      </c>
      <c r="N62">
        <v>8</v>
      </c>
      <c r="O62">
        <v>1331.287</v>
      </c>
      <c r="P62">
        <v>102.1</v>
      </c>
      <c r="Q62">
        <v>30</v>
      </c>
      <c r="R62">
        <v>4</v>
      </c>
      <c r="S62" t="s">
        <v>116</v>
      </c>
      <c r="T62">
        <v>3</v>
      </c>
      <c r="U62">
        <v>4</v>
      </c>
      <c r="V62">
        <v>1</v>
      </c>
      <c r="W62">
        <v>0</v>
      </c>
      <c r="X62">
        <v>0</v>
      </c>
      <c r="Y62" s="20">
        <f>SUM(Table1[[#This Row],[dty_type_cnt1]:[dty_type_cnt5]])</f>
        <v>8</v>
      </c>
    </row>
    <row r="63" spans="1:25" x14ac:dyDescent="0.25">
      <c r="A63" s="15">
        <v>46102</v>
      </c>
      <c r="B63" t="s">
        <v>430</v>
      </c>
      <c r="C63" t="s">
        <v>114</v>
      </c>
      <c r="D63" t="s">
        <v>46</v>
      </c>
      <c r="E63">
        <v>53</v>
      </c>
      <c r="F63" t="s">
        <v>74</v>
      </c>
      <c r="G63" t="s">
        <v>115</v>
      </c>
      <c r="H63" t="s">
        <v>60</v>
      </c>
      <c r="I63" t="s">
        <v>115</v>
      </c>
      <c r="J63" t="s">
        <v>0</v>
      </c>
      <c r="K63" t="s">
        <v>2</v>
      </c>
      <c r="L63">
        <v>27477</v>
      </c>
      <c r="M63">
        <v>78</v>
      </c>
      <c r="N63">
        <v>18</v>
      </c>
      <c r="O63">
        <v>2578.1729999999998</v>
      </c>
      <c r="P63">
        <v>298.5</v>
      </c>
      <c r="Q63">
        <v>20</v>
      </c>
      <c r="R63">
        <v>9</v>
      </c>
      <c r="S63" t="s">
        <v>116</v>
      </c>
      <c r="T63">
        <v>7</v>
      </c>
      <c r="U63">
        <v>8</v>
      </c>
      <c r="V63">
        <v>7</v>
      </c>
      <c r="W63">
        <v>0</v>
      </c>
      <c r="X63">
        <v>0</v>
      </c>
      <c r="Y63" s="20">
        <f>SUM(Table1[[#This Row],[dty_type_cnt1]:[dty_type_cnt5]])</f>
        <v>22</v>
      </c>
    </row>
    <row r="64" spans="1:25" x14ac:dyDescent="0.25">
      <c r="A64" s="15">
        <v>46102</v>
      </c>
      <c r="B64" t="s">
        <v>430</v>
      </c>
      <c r="C64" t="s">
        <v>114</v>
      </c>
      <c r="D64" t="s">
        <v>46</v>
      </c>
      <c r="E64">
        <v>55</v>
      </c>
      <c r="F64" t="s">
        <v>48</v>
      </c>
      <c r="G64" t="s">
        <v>115</v>
      </c>
      <c r="H64" t="s">
        <v>60</v>
      </c>
      <c r="I64" t="s">
        <v>115</v>
      </c>
      <c r="J64" t="s">
        <v>0</v>
      </c>
      <c r="K64" t="s">
        <v>2</v>
      </c>
      <c r="L64">
        <v>27477</v>
      </c>
      <c r="M64">
        <v>60</v>
      </c>
      <c r="N64">
        <v>16</v>
      </c>
      <c r="O64">
        <v>1590.481</v>
      </c>
      <c r="P64">
        <v>161</v>
      </c>
      <c r="Q64">
        <v>25</v>
      </c>
      <c r="R64">
        <v>7</v>
      </c>
      <c r="S64" t="s">
        <v>116</v>
      </c>
      <c r="T64">
        <v>6</v>
      </c>
      <c r="U64">
        <v>6</v>
      </c>
      <c r="V64">
        <v>1</v>
      </c>
      <c r="W64">
        <v>0</v>
      </c>
      <c r="X64">
        <v>0</v>
      </c>
      <c r="Y64" s="20">
        <f>SUM(Table1[[#This Row],[dty_type_cnt1]:[dty_type_cnt5]])</f>
        <v>13</v>
      </c>
    </row>
    <row r="65" spans="1:25" x14ac:dyDescent="0.25">
      <c r="A65" s="15">
        <v>46102</v>
      </c>
      <c r="B65" t="s">
        <v>430</v>
      </c>
      <c r="C65" t="s">
        <v>114</v>
      </c>
      <c r="D65" t="s">
        <v>46</v>
      </c>
      <c r="E65">
        <v>64</v>
      </c>
      <c r="F65" t="s">
        <v>75</v>
      </c>
      <c r="G65" t="s">
        <v>115</v>
      </c>
      <c r="H65" t="s">
        <v>60</v>
      </c>
      <c r="I65" t="s">
        <v>115</v>
      </c>
      <c r="J65" t="s">
        <v>76</v>
      </c>
      <c r="K65" t="s">
        <v>2</v>
      </c>
      <c r="L65">
        <v>27477</v>
      </c>
      <c r="M65">
        <v>69</v>
      </c>
      <c r="N65">
        <v>20</v>
      </c>
      <c r="O65">
        <v>2281.636</v>
      </c>
      <c r="P65">
        <v>478.8</v>
      </c>
      <c r="Q65">
        <v>25</v>
      </c>
      <c r="R65">
        <v>9</v>
      </c>
      <c r="S65" t="s">
        <v>116</v>
      </c>
      <c r="T65">
        <v>9</v>
      </c>
      <c r="U65">
        <v>8</v>
      </c>
      <c r="V65">
        <v>0</v>
      </c>
      <c r="W65">
        <v>0</v>
      </c>
      <c r="X65">
        <v>0</v>
      </c>
      <c r="Y65" s="20">
        <f>SUM(Table1[[#This Row],[dty_type_cnt1]:[dty_type_cnt5]])</f>
        <v>17</v>
      </c>
    </row>
    <row r="66" spans="1:25" x14ac:dyDescent="0.25">
      <c r="A66" s="15">
        <v>46102</v>
      </c>
      <c r="B66" t="s">
        <v>430</v>
      </c>
      <c r="C66" t="s">
        <v>114</v>
      </c>
      <c r="D66" t="s">
        <v>46</v>
      </c>
      <c r="E66">
        <v>77</v>
      </c>
      <c r="F66" t="s">
        <v>150</v>
      </c>
      <c r="G66" t="s">
        <v>115</v>
      </c>
      <c r="H66" t="s">
        <v>60</v>
      </c>
      <c r="I66" t="s">
        <v>115</v>
      </c>
      <c r="J66" t="s">
        <v>0</v>
      </c>
      <c r="K66" t="s">
        <v>2</v>
      </c>
      <c r="L66">
        <v>27477</v>
      </c>
      <c r="M66">
        <v>82</v>
      </c>
      <c r="N66">
        <v>14</v>
      </c>
      <c r="O66">
        <v>1003.0650000000001</v>
      </c>
      <c r="P66">
        <v>261.89999999999998</v>
      </c>
      <c r="Q66">
        <v>30</v>
      </c>
      <c r="R66">
        <v>5</v>
      </c>
      <c r="S66" t="s">
        <v>116</v>
      </c>
      <c r="T66">
        <v>7</v>
      </c>
      <c r="U66">
        <v>3</v>
      </c>
      <c r="V66">
        <v>2</v>
      </c>
      <c r="W66">
        <v>0</v>
      </c>
      <c r="X66">
        <v>0</v>
      </c>
      <c r="Y66" s="20">
        <f>SUM(Table1[[#This Row],[dty_type_cnt1]:[dty_type_cnt5]])</f>
        <v>12</v>
      </c>
    </row>
    <row r="67" spans="1:25" x14ac:dyDescent="0.25">
      <c r="A67" s="15">
        <v>46102</v>
      </c>
      <c r="B67" t="s">
        <v>430</v>
      </c>
      <c r="C67" t="s">
        <v>114</v>
      </c>
      <c r="D67" t="s">
        <v>46</v>
      </c>
      <c r="E67" t="s">
        <v>120</v>
      </c>
      <c r="F67" t="s">
        <v>121</v>
      </c>
      <c r="G67" t="s">
        <v>115</v>
      </c>
      <c r="H67" t="s">
        <v>60</v>
      </c>
      <c r="I67" t="s">
        <v>115</v>
      </c>
      <c r="J67" t="s">
        <v>47</v>
      </c>
      <c r="K67" t="s">
        <v>2</v>
      </c>
      <c r="L67">
        <v>27477</v>
      </c>
      <c r="M67">
        <v>67</v>
      </c>
      <c r="N67">
        <v>10</v>
      </c>
      <c r="O67">
        <v>1141.4760000000001</v>
      </c>
      <c r="P67">
        <v>243.7</v>
      </c>
      <c r="Q67">
        <v>15</v>
      </c>
      <c r="R67">
        <v>5</v>
      </c>
      <c r="S67" t="s">
        <v>116</v>
      </c>
      <c r="T67">
        <v>7</v>
      </c>
      <c r="U67">
        <v>3</v>
      </c>
      <c r="V67">
        <v>5</v>
      </c>
      <c r="W67">
        <v>0</v>
      </c>
      <c r="X67">
        <v>0</v>
      </c>
      <c r="Y67" s="20">
        <f>SUM(Table1[[#This Row],[dty_type_cnt1]:[dty_type_cnt5]])</f>
        <v>15</v>
      </c>
    </row>
    <row r="68" spans="1:25" x14ac:dyDescent="0.25">
      <c r="A68" s="15">
        <v>46102</v>
      </c>
      <c r="B68" t="s">
        <v>430</v>
      </c>
      <c r="C68" t="s">
        <v>114</v>
      </c>
      <c r="D68" t="s">
        <v>46</v>
      </c>
      <c r="E68" t="s">
        <v>56</v>
      </c>
      <c r="F68" t="s">
        <v>57</v>
      </c>
      <c r="G68" t="s">
        <v>115</v>
      </c>
      <c r="H68" t="s">
        <v>60</v>
      </c>
      <c r="I68" t="s">
        <v>115</v>
      </c>
      <c r="J68" t="s">
        <v>0</v>
      </c>
      <c r="K68" t="s">
        <v>2</v>
      </c>
      <c r="L68">
        <v>27477</v>
      </c>
      <c r="M68">
        <v>37</v>
      </c>
      <c r="N68">
        <v>16</v>
      </c>
      <c r="O68">
        <v>646.94799999999998</v>
      </c>
      <c r="P68">
        <v>314.10000000000002</v>
      </c>
      <c r="Q68">
        <v>20</v>
      </c>
      <c r="R68">
        <v>6</v>
      </c>
      <c r="S68" t="s">
        <v>116</v>
      </c>
      <c r="T68">
        <v>3</v>
      </c>
      <c r="U68">
        <v>6</v>
      </c>
      <c r="V68">
        <v>1</v>
      </c>
      <c r="W68">
        <v>0</v>
      </c>
      <c r="X68">
        <v>0</v>
      </c>
      <c r="Y68" s="20">
        <f>SUM(Table1[[#This Row],[dty_type_cnt1]:[dty_type_cnt5]])</f>
        <v>10</v>
      </c>
    </row>
    <row r="69" spans="1:25" x14ac:dyDescent="0.25">
      <c r="A69" s="15">
        <v>46102</v>
      </c>
      <c r="B69" t="s">
        <v>430</v>
      </c>
      <c r="C69" t="s">
        <v>114</v>
      </c>
      <c r="D69" t="s">
        <v>46</v>
      </c>
      <c r="E69" t="s">
        <v>50</v>
      </c>
      <c r="F69" t="s">
        <v>51</v>
      </c>
      <c r="G69" t="s">
        <v>115</v>
      </c>
      <c r="H69" t="s">
        <v>60</v>
      </c>
      <c r="I69" t="s">
        <v>115</v>
      </c>
      <c r="J69" t="s">
        <v>0</v>
      </c>
      <c r="K69" t="s">
        <v>2</v>
      </c>
      <c r="L69">
        <v>27477</v>
      </c>
      <c r="M69">
        <v>30</v>
      </c>
      <c r="N69">
        <v>6</v>
      </c>
      <c r="O69">
        <v>676.54499999999996</v>
      </c>
      <c r="P69">
        <v>158.6</v>
      </c>
      <c r="Q69">
        <v>35</v>
      </c>
      <c r="R69">
        <v>3</v>
      </c>
      <c r="S69" t="s">
        <v>116</v>
      </c>
      <c r="T69">
        <v>3</v>
      </c>
      <c r="U69">
        <v>2</v>
      </c>
      <c r="V69">
        <v>1</v>
      </c>
      <c r="W69">
        <v>0</v>
      </c>
      <c r="X69">
        <v>0</v>
      </c>
      <c r="Y69" s="20">
        <f>SUM(Table1[[#This Row],[dty_type_cnt1]:[dty_type_cnt5]])</f>
        <v>6</v>
      </c>
    </row>
    <row r="70" spans="1:25" x14ac:dyDescent="0.25">
      <c r="A70" s="15">
        <v>46102</v>
      </c>
      <c r="B70" t="s">
        <v>430</v>
      </c>
      <c r="C70" t="s">
        <v>114</v>
      </c>
      <c r="D70" t="s">
        <v>46</v>
      </c>
      <c r="E70" t="s">
        <v>52</v>
      </c>
      <c r="F70" t="s">
        <v>53</v>
      </c>
      <c r="G70" t="s">
        <v>115</v>
      </c>
      <c r="H70" t="s">
        <v>60</v>
      </c>
      <c r="I70" t="s">
        <v>115</v>
      </c>
      <c r="J70" t="s">
        <v>0</v>
      </c>
      <c r="K70" t="s">
        <v>2</v>
      </c>
      <c r="L70">
        <v>27477</v>
      </c>
      <c r="M70">
        <v>78</v>
      </c>
      <c r="N70">
        <v>16</v>
      </c>
      <c r="O70">
        <v>1851.7</v>
      </c>
      <c r="P70">
        <v>455.5</v>
      </c>
      <c r="Q70">
        <v>20</v>
      </c>
      <c r="R70">
        <v>8</v>
      </c>
      <c r="S70" t="s">
        <v>116</v>
      </c>
      <c r="T70">
        <v>9</v>
      </c>
      <c r="U70">
        <v>4</v>
      </c>
      <c r="V70">
        <v>5</v>
      </c>
      <c r="W70">
        <v>0</v>
      </c>
      <c r="X70">
        <v>0</v>
      </c>
      <c r="Y70" s="20">
        <f>SUM(Table1[[#This Row],[dty_type_cnt1]:[dty_type_cnt5]])</f>
        <v>18</v>
      </c>
    </row>
    <row r="71" spans="1:25" x14ac:dyDescent="0.25">
      <c r="A71" s="15">
        <v>46102</v>
      </c>
      <c r="B71" t="s">
        <v>430</v>
      </c>
      <c r="C71" t="s">
        <v>114</v>
      </c>
      <c r="D71" t="s">
        <v>46</v>
      </c>
      <c r="E71" t="s">
        <v>122</v>
      </c>
      <c r="F71" t="s">
        <v>123</v>
      </c>
      <c r="G71" t="s">
        <v>115</v>
      </c>
      <c r="H71" t="s">
        <v>60</v>
      </c>
      <c r="I71" t="s">
        <v>115</v>
      </c>
      <c r="J71" t="s">
        <v>63</v>
      </c>
      <c r="K71" t="s">
        <v>2</v>
      </c>
      <c r="L71">
        <v>27477</v>
      </c>
      <c r="M71">
        <v>27</v>
      </c>
      <c r="N71">
        <v>6</v>
      </c>
      <c r="O71">
        <v>533.08799999999997</v>
      </c>
      <c r="P71">
        <v>140.69999999999999</v>
      </c>
      <c r="Q71">
        <v>30</v>
      </c>
      <c r="R71">
        <v>3</v>
      </c>
      <c r="S71" t="s">
        <v>116</v>
      </c>
      <c r="T71">
        <v>2</v>
      </c>
      <c r="U71">
        <v>3</v>
      </c>
      <c r="V71">
        <v>0</v>
      </c>
      <c r="W71">
        <v>0</v>
      </c>
      <c r="X71">
        <v>0</v>
      </c>
      <c r="Y71" s="20">
        <f>SUM(Table1[[#This Row],[dty_type_cnt1]:[dty_type_cnt5]])</f>
        <v>5</v>
      </c>
    </row>
    <row r="72" spans="1:25" x14ac:dyDescent="0.25">
      <c r="A72" s="15">
        <v>46102</v>
      </c>
      <c r="B72" t="s">
        <v>430</v>
      </c>
      <c r="C72" t="s">
        <v>114</v>
      </c>
      <c r="D72" t="s">
        <v>46</v>
      </c>
      <c r="E72" t="s">
        <v>124</v>
      </c>
      <c r="F72" t="s">
        <v>125</v>
      </c>
      <c r="G72" t="s">
        <v>115</v>
      </c>
      <c r="H72" t="s">
        <v>60</v>
      </c>
      <c r="I72" t="s">
        <v>115</v>
      </c>
      <c r="J72" t="s">
        <v>0</v>
      </c>
      <c r="K72" t="s">
        <v>2</v>
      </c>
      <c r="L72">
        <v>27477</v>
      </c>
      <c r="M72">
        <v>9</v>
      </c>
      <c r="N72">
        <v>4</v>
      </c>
      <c r="O72">
        <v>182.614</v>
      </c>
      <c r="P72">
        <v>50.4</v>
      </c>
      <c r="Q72">
        <v>30</v>
      </c>
      <c r="R72">
        <v>1</v>
      </c>
      <c r="S72" t="s">
        <v>116</v>
      </c>
      <c r="T72">
        <v>1</v>
      </c>
      <c r="U72">
        <v>1</v>
      </c>
      <c r="V72">
        <v>0</v>
      </c>
      <c r="W72">
        <v>0</v>
      </c>
      <c r="X72">
        <v>0</v>
      </c>
      <c r="Y72" s="20">
        <f>SUM(Table1[[#This Row],[dty_type_cnt1]:[dty_type_cnt5]])</f>
        <v>2</v>
      </c>
    </row>
    <row r="73" spans="1:25" x14ac:dyDescent="0.25">
      <c r="A73" s="15">
        <v>46102</v>
      </c>
      <c r="B73" t="s">
        <v>430</v>
      </c>
      <c r="C73" t="s">
        <v>114</v>
      </c>
      <c r="D73" t="s">
        <v>54</v>
      </c>
      <c r="E73" t="s">
        <v>79</v>
      </c>
      <c r="F73" t="s">
        <v>113</v>
      </c>
      <c r="G73" t="s">
        <v>115</v>
      </c>
      <c r="H73" t="s">
        <v>60</v>
      </c>
      <c r="I73" t="s">
        <v>115</v>
      </c>
      <c r="J73" t="s">
        <v>0</v>
      </c>
      <c r="K73" t="s">
        <v>2</v>
      </c>
      <c r="L73">
        <v>27477</v>
      </c>
      <c r="M73">
        <v>6</v>
      </c>
      <c r="N73">
        <v>2</v>
      </c>
      <c r="O73">
        <v>56.017000000000003</v>
      </c>
      <c r="P73">
        <v>50</v>
      </c>
      <c r="Q73">
        <v>25</v>
      </c>
      <c r="R73">
        <v>1</v>
      </c>
      <c r="S73" t="s">
        <v>116</v>
      </c>
      <c r="T73">
        <v>0</v>
      </c>
      <c r="U73">
        <v>1</v>
      </c>
      <c r="V73">
        <v>0</v>
      </c>
      <c r="W73">
        <v>0</v>
      </c>
      <c r="X73">
        <v>0</v>
      </c>
      <c r="Y73" s="20">
        <f>SUM(Table1[[#This Row],[dty_type_cnt1]:[dty_type_cnt5]])</f>
        <v>1</v>
      </c>
    </row>
    <row r="74" spans="1:25" x14ac:dyDescent="0.25">
      <c r="A74" s="15">
        <v>46102</v>
      </c>
      <c r="B74" t="s">
        <v>430</v>
      </c>
      <c r="C74" t="s">
        <v>114</v>
      </c>
      <c r="D74" t="s">
        <v>54</v>
      </c>
      <c r="E74" t="s">
        <v>82</v>
      </c>
      <c r="F74" t="s">
        <v>83</v>
      </c>
      <c r="G74" t="s">
        <v>115</v>
      </c>
      <c r="H74" t="s">
        <v>60</v>
      </c>
      <c r="I74" t="s">
        <v>115</v>
      </c>
      <c r="J74" t="s">
        <v>0</v>
      </c>
      <c r="K74" t="s">
        <v>2</v>
      </c>
      <c r="L74">
        <v>27477</v>
      </c>
      <c r="M74">
        <v>31</v>
      </c>
      <c r="N74">
        <v>6</v>
      </c>
      <c r="O74">
        <v>840.78200000000004</v>
      </c>
      <c r="P74">
        <v>54.6</v>
      </c>
      <c r="Q74">
        <v>30</v>
      </c>
      <c r="R74">
        <v>3</v>
      </c>
      <c r="S74" t="s">
        <v>116</v>
      </c>
      <c r="T74">
        <v>2</v>
      </c>
      <c r="U74">
        <v>0</v>
      </c>
      <c r="V74">
        <v>0</v>
      </c>
      <c r="W74">
        <v>0</v>
      </c>
      <c r="X74">
        <v>0</v>
      </c>
      <c r="Y74" s="20">
        <f>SUM(Table1[[#This Row],[dty_type_cnt1]:[dty_type_cnt5]])</f>
        <v>2</v>
      </c>
    </row>
    <row r="75" spans="1:25" x14ac:dyDescent="0.25">
      <c r="A75" s="15">
        <v>46102</v>
      </c>
      <c r="B75" t="s">
        <v>430</v>
      </c>
      <c r="C75" t="s">
        <v>114</v>
      </c>
      <c r="D75" t="s">
        <v>54</v>
      </c>
      <c r="E75" t="s">
        <v>84</v>
      </c>
      <c r="F75" t="s">
        <v>148</v>
      </c>
      <c r="G75" t="s">
        <v>115</v>
      </c>
      <c r="H75" t="s">
        <v>60</v>
      </c>
      <c r="I75" t="s">
        <v>115</v>
      </c>
      <c r="J75" t="s">
        <v>0</v>
      </c>
      <c r="K75" t="s">
        <v>2</v>
      </c>
      <c r="L75">
        <v>27477</v>
      </c>
      <c r="M75">
        <v>48</v>
      </c>
      <c r="N75">
        <v>10</v>
      </c>
      <c r="O75">
        <v>742.93799999999999</v>
      </c>
      <c r="P75">
        <v>259.8</v>
      </c>
      <c r="Q75">
        <v>20</v>
      </c>
      <c r="R75">
        <v>5</v>
      </c>
      <c r="S75" t="s">
        <v>116</v>
      </c>
      <c r="T75">
        <v>5</v>
      </c>
      <c r="U75">
        <v>1</v>
      </c>
      <c r="V75">
        <v>4</v>
      </c>
      <c r="W75">
        <v>0</v>
      </c>
      <c r="X75">
        <v>0</v>
      </c>
      <c r="Y75" s="20">
        <f>SUM(Table1[[#This Row],[dty_type_cnt1]:[dty_type_cnt5]])</f>
        <v>10</v>
      </c>
    </row>
    <row r="76" spans="1:25" x14ac:dyDescent="0.25">
      <c r="A76" s="15">
        <v>46102</v>
      </c>
      <c r="B76" t="s">
        <v>430</v>
      </c>
      <c r="C76" t="s">
        <v>114</v>
      </c>
      <c r="D76" t="s">
        <v>54</v>
      </c>
      <c r="E76" t="s">
        <v>85</v>
      </c>
      <c r="F76" t="s">
        <v>86</v>
      </c>
      <c r="G76" t="s">
        <v>115</v>
      </c>
      <c r="H76" t="s">
        <v>60</v>
      </c>
      <c r="I76" t="s">
        <v>115</v>
      </c>
      <c r="J76" t="s">
        <v>63</v>
      </c>
      <c r="K76" t="s">
        <v>2</v>
      </c>
      <c r="L76">
        <v>27477</v>
      </c>
      <c r="M76">
        <v>54</v>
      </c>
      <c r="N76">
        <v>14</v>
      </c>
      <c r="O76">
        <v>1369.7819999999999</v>
      </c>
      <c r="P76">
        <v>156.1</v>
      </c>
      <c r="Q76">
        <v>35</v>
      </c>
      <c r="R76">
        <v>4</v>
      </c>
      <c r="S76" t="s">
        <v>116</v>
      </c>
      <c r="T76">
        <v>6</v>
      </c>
      <c r="U76">
        <v>1</v>
      </c>
      <c r="V76">
        <v>3</v>
      </c>
      <c r="W76">
        <v>0</v>
      </c>
      <c r="X76">
        <v>0</v>
      </c>
      <c r="Y76" s="20">
        <f>SUM(Table1[[#This Row],[dty_type_cnt1]:[dty_type_cnt5]])</f>
        <v>10</v>
      </c>
    </row>
    <row r="77" spans="1:25" x14ac:dyDescent="0.25">
      <c r="A77" s="15">
        <v>46102</v>
      </c>
      <c r="B77" t="s">
        <v>430</v>
      </c>
      <c r="C77" t="s">
        <v>114</v>
      </c>
      <c r="D77" t="s">
        <v>54</v>
      </c>
      <c r="E77" t="s">
        <v>87</v>
      </c>
      <c r="F77" t="s">
        <v>88</v>
      </c>
      <c r="G77" t="s">
        <v>115</v>
      </c>
      <c r="H77" t="s">
        <v>60</v>
      </c>
      <c r="I77" t="s">
        <v>115</v>
      </c>
      <c r="J77" t="s">
        <v>63</v>
      </c>
      <c r="K77" t="s">
        <v>2</v>
      </c>
      <c r="L77">
        <v>27477</v>
      </c>
      <c r="M77">
        <v>61</v>
      </c>
      <c r="N77">
        <v>14</v>
      </c>
      <c r="O77">
        <v>604.26900000000001</v>
      </c>
      <c r="P77">
        <v>128.80000000000001</v>
      </c>
      <c r="Q77">
        <v>15</v>
      </c>
      <c r="R77">
        <v>4</v>
      </c>
      <c r="S77" t="s">
        <v>116</v>
      </c>
      <c r="T77">
        <v>3</v>
      </c>
      <c r="U77">
        <v>3</v>
      </c>
      <c r="V77">
        <v>2</v>
      </c>
      <c r="W77">
        <v>0</v>
      </c>
      <c r="X77">
        <v>0</v>
      </c>
      <c r="Y77" s="20">
        <f>SUM(Table1[[#This Row],[dty_type_cnt1]:[dty_type_cnt5]])</f>
        <v>8</v>
      </c>
    </row>
    <row r="78" spans="1:25" x14ac:dyDescent="0.25">
      <c r="A78" s="15">
        <v>46102</v>
      </c>
      <c r="B78" t="s">
        <v>430</v>
      </c>
      <c r="C78" t="s">
        <v>114</v>
      </c>
      <c r="D78" t="s">
        <v>54</v>
      </c>
      <c r="E78" t="s">
        <v>89</v>
      </c>
      <c r="F78" t="s">
        <v>90</v>
      </c>
      <c r="G78" t="s">
        <v>115</v>
      </c>
      <c r="H78" t="s">
        <v>60</v>
      </c>
      <c r="I78" t="s">
        <v>115</v>
      </c>
      <c r="J78" t="s">
        <v>0</v>
      </c>
      <c r="K78" t="s">
        <v>2</v>
      </c>
      <c r="L78">
        <v>27477</v>
      </c>
      <c r="M78">
        <v>72</v>
      </c>
      <c r="N78">
        <v>11</v>
      </c>
      <c r="O78">
        <v>1889.9670000000001</v>
      </c>
      <c r="P78">
        <v>124.411</v>
      </c>
      <c r="Q78">
        <v>25</v>
      </c>
      <c r="R78">
        <v>5</v>
      </c>
      <c r="S78" t="s">
        <v>116</v>
      </c>
      <c r="T78">
        <v>11</v>
      </c>
      <c r="U78">
        <v>8</v>
      </c>
      <c r="V78">
        <v>2</v>
      </c>
      <c r="W78">
        <v>0</v>
      </c>
      <c r="X78">
        <v>0</v>
      </c>
      <c r="Y78" s="20">
        <f>SUM(Table1[[#This Row],[dty_type_cnt1]:[dty_type_cnt5]])</f>
        <v>21</v>
      </c>
    </row>
    <row r="79" spans="1:25" x14ac:dyDescent="0.25">
      <c r="A79" s="15">
        <v>46102</v>
      </c>
      <c r="B79" t="s">
        <v>430</v>
      </c>
      <c r="C79" t="s">
        <v>114</v>
      </c>
      <c r="D79" t="s">
        <v>54</v>
      </c>
      <c r="E79" t="s">
        <v>91</v>
      </c>
      <c r="F79" t="s">
        <v>126</v>
      </c>
      <c r="G79" t="s">
        <v>115</v>
      </c>
      <c r="H79" t="s">
        <v>60</v>
      </c>
      <c r="I79" t="s">
        <v>115</v>
      </c>
      <c r="J79" t="s">
        <v>76</v>
      </c>
      <c r="K79" t="s">
        <v>2</v>
      </c>
      <c r="L79">
        <v>27477</v>
      </c>
      <c r="M79">
        <v>165</v>
      </c>
      <c r="N79">
        <v>18</v>
      </c>
      <c r="O79">
        <v>818.31200000000001</v>
      </c>
      <c r="P79">
        <v>373.8</v>
      </c>
      <c r="Q79">
        <v>10</v>
      </c>
      <c r="R79">
        <v>6</v>
      </c>
      <c r="S79" t="s">
        <v>116</v>
      </c>
      <c r="T79">
        <v>5</v>
      </c>
      <c r="U79">
        <v>7</v>
      </c>
      <c r="V79">
        <v>0</v>
      </c>
      <c r="W79">
        <v>0</v>
      </c>
      <c r="X79">
        <v>0</v>
      </c>
      <c r="Y79" s="20">
        <f>SUM(Table1[[#This Row],[dty_type_cnt1]:[dty_type_cnt5]])</f>
        <v>12</v>
      </c>
    </row>
    <row r="80" spans="1:25" x14ac:dyDescent="0.25">
      <c r="A80" s="15">
        <v>46102</v>
      </c>
      <c r="B80" t="s">
        <v>430</v>
      </c>
      <c r="C80" t="s">
        <v>114</v>
      </c>
      <c r="D80" t="s">
        <v>54</v>
      </c>
      <c r="E80" t="s">
        <v>94</v>
      </c>
      <c r="F80" t="s">
        <v>127</v>
      </c>
      <c r="G80" t="s">
        <v>115</v>
      </c>
      <c r="H80" t="s">
        <v>60</v>
      </c>
      <c r="I80" t="s">
        <v>115</v>
      </c>
      <c r="J80" t="s">
        <v>76</v>
      </c>
      <c r="K80" t="s">
        <v>2</v>
      </c>
      <c r="L80">
        <v>27477</v>
      </c>
      <c r="M80">
        <v>123</v>
      </c>
      <c r="N80">
        <v>13</v>
      </c>
      <c r="O80">
        <v>675.71400000000006</v>
      </c>
      <c r="P80">
        <v>254.51</v>
      </c>
      <c r="Q80">
        <v>14</v>
      </c>
      <c r="R80">
        <v>5</v>
      </c>
      <c r="S80" t="s">
        <v>116</v>
      </c>
      <c r="T80">
        <v>5</v>
      </c>
      <c r="U80">
        <v>2</v>
      </c>
      <c r="V80">
        <v>2</v>
      </c>
      <c r="W80">
        <v>0</v>
      </c>
      <c r="X80">
        <v>0</v>
      </c>
      <c r="Y80" s="20">
        <f>SUM(Table1[[#This Row],[dty_type_cnt1]:[dty_type_cnt5]])</f>
        <v>9</v>
      </c>
    </row>
    <row r="81" spans="1:25" x14ac:dyDescent="0.25">
      <c r="A81" s="15">
        <v>46102</v>
      </c>
      <c r="B81" t="s">
        <v>430</v>
      </c>
      <c r="C81" t="s">
        <v>114</v>
      </c>
      <c r="D81" t="s">
        <v>54</v>
      </c>
      <c r="E81" t="s">
        <v>128</v>
      </c>
      <c r="F81" t="s">
        <v>129</v>
      </c>
      <c r="G81" t="s">
        <v>115</v>
      </c>
      <c r="H81" t="s">
        <v>60</v>
      </c>
      <c r="I81" t="s">
        <v>115</v>
      </c>
      <c r="J81" t="s">
        <v>0</v>
      </c>
      <c r="K81" t="s">
        <v>2</v>
      </c>
      <c r="L81">
        <v>27477</v>
      </c>
      <c r="M81">
        <v>74</v>
      </c>
      <c r="N81">
        <v>12</v>
      </c>
      <c r="O81">
        <v>1332</v>
      </c>
      <c r="P81">
        <v>212.1</v>
      </c>
      <c r="Q81">
        <v>30</v>
      </c>
      <c r="R81">
        <v>6</v>
      </c>
      <c r="S81" t="s">
        <v>116</v>
      </c>
      <c r="T81">
        <v>7</v>
      </c>
      <c r="U81">
        <v>4</v>
      </c>
      <c r="V81">
        <v>3</v>
      </c>
      <c r="W81">
        <v>0</v>
      </c>
      <c r="X81">
        <v>0</v>
      </c>
      <c r="Y81" s="20">
        <f>SUM(Table1[[#This Row],[dty_type_cnt1]:[dty_type_cnt5]])</f>
        <v>14</v>
      </c>
    </row>
    <row r="82" spans="1:25" x14ac:dyDescent="0.25">
      <c r="A82" s="15">
        <v>46102</v>
      </c>
      <c r="B82" t="s">
        <v>430</v>
      </c>
      <c r="C82" t="s">
        <v>114</v>
      </c>
      <c r="D82" t="s">
        <v>54</v>
      </c>
      <c r="E82" t="s">
        <v>130</v>
      </c>
      <c r="F82" t="s">
        <v>131</v>
      </c>
      <c r="G82" t="s">
        <v>115</v>
      </c>
      <c r="H82" t="s">
        <v>60</v>
      </c>
      <c r="I82" t="s">
        <v>115</v>
      </c>
      <c r="J82" t="s">
        <v>63</v>
      </c>
      <c r="K82" t="s">
        <v>2</v>
      </c>
      <c r="L82">
        <v>27477</v>
      </c>
      <c r="M82">
        <v>74</v>
      </c>
      <c r="N82">
        <v>6</v>
      </c>
      <c r="O82">
        <v>761.49699999999996</v>
      </c>
      <c r="P82">
        <v>97.2</v>
      </c>
      <c r="Q82">
        <v>30</v>
      </c>
      <c r="R82">
        <v>3</v>
      </c>
      <c r="S82" t="s">
        <v>116</v>
      </c>
      <c r="T82">
        <v>4</v>
      </c>
      <c r="U82">
        <v>2</v>
      </c>
      <c r="V82">
        <v>1</v>
      </c>
      <c r="W82">
        <v>0</v>
      </c>
      <c r="X82">
        <v>0</v>
      </c>
      <c r="Y82" s="20">
        <f>SUM(Table1[[#This Row],[dty_type_cnt1]:[dty_type_cnt5]])</f>
        <v>7</v>
      </c>
    </row>
    <row r="83" spans="1:25" x14ac:dyDescent="0.25">
      <c r="A83" s="15">
        <v>46102</v>
      </c>
      <c r="B83" t="s">
        <v>430</v>
      </c>
      <c r="C83" t="s">
        <v>114</v>
      </c>
      <c r="D83" t="s">
        <v>54</v>
      </c>
      <c r="E83" t="s">
        <v>95</v>
      </c>
      <c r="F83" t="s">
        <v>96</v>
      </c>
      <c r="G83" t="s">
        <v>115</v>
      </c>
      <c r="H83" t="s">
        <v>60</v>
      </c>
      <c r="I83" t="s">
        <v>115</v>
      </c>
      <c r="J83" t="s">
        <v>0</v>
      </c>
      <c r="K83" t="s">
        <v>2</v>
      </c>
      <c r="L83">
        <v>27477</v>
      </c>
      <c r="M83">
        <v>31</v>
      </c>
      <c r="N83">
        <v>6</v>
      </c>
      <c r="O83">
        <v>512.45299999999997</v>
      </c>
      <c r="P83">
        <v>49.7</v>
      </c>
      <c r="Q83">
        <v>25</v>
      </c>
      <c r="R83">
        <v>2</v>
      </c>
      <c r="S83" t="s">
        <v>116</v>
      </c>
      <c r="T83">
        <v>0</v>
      </c>
      <c r="U83">
        <v>2</v>
      </c>
      <c r="V83">
        <v>0</v>
      </c>
      <c r="W83">
        <v>0</v>
      </c>
      <c r="X83">
        <v>0</v>
      </c>
      <c r="Y83" s="20">
        <f>SUM(Table1[[#This Row],[dty_type_cnt1]:[dty_type_cnt5]])</f>
        <v>2</v>
      </c>
    </row>
    <row r="84" spans="1:25" x14ac:dyDescent="0.25">
      <c r="A84" s="15">
        <v>46102</v>
      </c>
      <c r="B84" t="s">
        <v>430</v>
      </c>
      <c r="C84" t="s">
        <v>114</v>
      </c>
      <c r="D84" t="s">
        <v>54</v>
      </c>
      <c r="E84" t="s">
        <v>97</v>
      </c>
      <c r="F84" t="s">
        <v>98</v>
      </c>
      <c r="G84" t="s">
        <v>115</v>
      </c>
      <c r="H84" t="s">
        <v>60</v>
      </c>
      <c r="I84" t="s">
        <v>115</v>
      </c>
      <c r="J84" t="s">
        <v>0</v>
      </c>
      <c r="K84" t="s">
        <v>2</v>
      </c>
      <c r="L84">
        <v>27477</v>
      </c>
      <c r="M84">
        <v>32</v>
      </c>
      <c r="N84">
        <v>5</v>
      </c>
      <c r="O84">
        <v>826.19100000000003</v>
      </c>
      <c r="P84">
        <v>48.3</v>
      </c>
      <c r="Q84">
        <v>28</v>
      </c>
      <c r="R84">
        <v>2</v>
      </c>
      <c r="S84" t="s">
        <v>116</v>
      </c>
      <c r="T84">
        <v>1</v>
      </c>
      <c r="U84">
        <v>0</v>
      </c>
      <c r="V84">
        <v>0</v>
      </c>
      <c r="W84">
        <v>0</v>
      </c>
      <c r="X84">
        <v>0</v>
      </c>
      <c r="Y84" s="20">
        <f>SUM(Table1[[#This Row],[dty_type_cnt1]:[dty_type_cnt5]])</f>
        <v>1</v>
      </c>
    </row>
    <row r="85" spans="1:25" x14ac:dyDescent="0.25">
      <c r="A85" s="15">
        <v>46102</v>
      </c>
      <c r="B85" t="s">
        <v>430</v>
      </c>
      <c r="C85" t="s">
        <v>114</v>
      </c>
      <c r="D85" t="s">
        <v>54</v>
      </c>
      <c r="E85" t="s">
        <v>109</v>
      </c>
      <c r="F85" t="s">
        <v>151</v>
      </c>
      <c r="G85" t="s">
        <v>115</v>
      </c>
      <c r="H85" t="s">
        <v>60</v>
      </c>
      <c r="I85" t="s">
        <v>115</v>
      </c>
      <c r="J85" t="s">
        <v>0</v>
      </c>
      <c r="K85" t="s">
        <v>2</v>
      </c>
      <c r="L85">
        <v>27477</v>
      </c>
      <c r="M85">
        <v>84</v>
      </c>
      <c r="N85">
        <v>14</v>
      </c>
      <c r="O85">
        <v>1520.232</v>
      </c>
      <c r="P85">
        <v>241.6</v>
      </c>
      <c r="Q85">
        <v>20</v>
      </c>
      <c r="R85">
        <v>6</v>
      </c>
      <c r="S85" t="s">
        <v>116</v>
      </c>
      <c r="T85">
        <v>9</v>
      </c>
      <c r="U85">
        <v>3</v>
      </c>
      <c r="V85">
        <v>3</v>
      </c>
      <c r="W85">
        <v>0</v>
      </c>
      <c r="X85">
        <v>0</v>
      </c>
      <c r="Y85" s="20">
        <f>SUM(Table1[[#This Row],[dty_type_cnt1]:[dty_type_cnt5]])</f>
        <v>15</v>
      </c>
    </row>
    <row r="86" spans="1:25" x14ac:dyDescent="0.25">
      <c r="A86" s="15">
        <v>46102</v>
      </c>
      <c r="B86" t="s">
        <v>430</v>
      </c>
      <c r="C86" t="s">
        <v>114</v>
      </c>
      <c r="D86" t="s">
        <v>54</v>
      </c>
      <c r="E86" t="s">
        <v>132</v>
      </c>
      <c r="F86" t="s">
        <v>133</v>
      </c>
      <c r="G86" t="s">
        <v>115</v>
      </c>
      <c r="H86" t="s">
        <v>60</v>
      </c>
      <c r="I86" t="s">
        <v>115</v>
      </c>
      <c r="J86" t="s">
        <v>0</v>
      </c>
      <c r="K86" t="s">
        <v>2</v>
      </c>
      <c r="L86">
        <v>27477</v>
      </c>
      <c r="M86">
        <v>13</v>
      </c>
      <c r="N86">
        <v>2</v>
      </c>
      <c r="O86">
        <v>86.593000000000004</v>
      </c>
      <c r="P86">
        <v>50</v>
      </c>
      <c r="Q86">
        <v>17</v>
      </c>
      <c r="R86">
        <v>1</v>
      </c>
      <c r="S86" t="s">
        <v>116</v>
      </c>
      <c r="T86">
        <v>1</v>
      </c>
      <c r="U86">
        <v>0</v>
      </c>
      <c r="V86">
        <v>1</v>
      </c>
      <c r="W86">
        <v>0</v>
      </c>
      <c r="X86">
        <v>0</v>
      </c>
      <c r="Y86" s="20">
        <f>SUM(Table1[[#This Row],[dty_type_cnt1]:[dty_type_cnt5]])</f>
        <v>2</v>
      </c>
    </row>
    <row r="87" spans="1:25" x14ac:dyDescent="0.25">
      <c r="A87" s="15">
        <v>46102</v>
      </c>
      <c r="B87" t="s">
        <v>430</v>
      </c>
      <c r="C87" t="s">
        <v>114</v>
      </c>
      <c r="D87" t="s">
        <v>54</v>
      </c>
      <c r="E87" t="s">
        <v>99</v>
      </c>
      <c r="F87" t="s">
        <v>100</v>
      </c>
      <c r="G87" t="s">
        <v>115</v>
      </c>
      <c r="H87" t="s">
        <v>60</v>
      </c>
      <c r="I87" t="s">
        <v>115</v>
      </c>
      <c r="J87" t="s">
        <v>63</v>
      </c>
      <c r="K87" t="s">
        <v>2</v>
      </c>
      <c r="L87">
        <v>27477</v>
      </c>
      <c r="M87">
        <v>29</v>
      </c>
      <c r="N87">
        <v>8</v>
      </c>
      <c r="O87">
        <v>396.34199999999998</v>
      </c>
      <c r="P87">
        <v>161</v>
      </c>
      <c r="Q87">
        <v>20</v>
      </c>
      <c r="R87">
        <v>3</v>
      </c>
      <c r="S87" t="s">
        <v>116</v>
      </c>
      <c r="T87">
        <v>3</v>
      </c>
      <c r="U87">
        <v>2</v>
      </c>
      <c r="V87">
        <v>1</v>
      </c>
      <c r="W87">
        <v>0</v>
      </c>
      <c r="X87">
        <v>0</v>
      </c>
      <c r="Y87" s="20">
        <f>SUM(Table1[[#This Row],[dty_type_cnt1]:[dty_type_cnt5]])</f>
        <v>6</v>
      </c>
    </row>
    <row r="88" spans="1:25" x14ac:dyDescent="0.25">
      <c r="A88" s="15">
        <v>46102</v>
      </c>
      <c r="B88" t="s">
        <v>430</v>
      </c>
      <c r="C88" t="s">
        <v>114</v>
      </c>
      <c r="D88" t="s">
        <v>49</v>
      </c>
      <c r="E88" t="s">
        <v>105</v>
      </c>
      <c r="F88" t="s">
        <v>152</v>
      </c>
      <c r="G88" t="s">
        <v>115</v>
      </c>
      <c r="H88" t="s">
        <v>60</v>
      </c>
      <c r="I88" t="s">
        <v>115</v>
      </c>
      <c r="J88" t="s">
        <v>76</v>
      </c>
      <c r="K88" t="s">
        <v>2</v>
      </c>
      <c r="L88">
        <v>27477</v>
      </c>
      <c r="M88">
        <v>45</v>
      </c>
      <c r="N88">
        <v>8</v>
      </c>
      <c r="O88">
        <v>1394.886</v>
      </c>
      <c r="P88">
        <v>136.80000000000001</v>
      </c>
      <c r="Q88">
        <v>25</v>
      </c>
      <c r="R88">
        <v>4</v>
      </c>
      <c r="S88" t="s">
        <v>116</v>
      </c>
      <c r="T88">
        <v>5</v>
      </c>
      <c r="U88">
        <v>3</v>
      </c>
      <c r="V88">
        <v>1</v>
      </c>
      <c r="W88">
        <v>0</v>
      </c>
      <c r="X88">
        <v>0</v>
      </c>
      <c r="Y88" s="20">
        <f>SUM(Table1[[#This Row],[dty_type_cnt1]:[dty_type_cnt5]])</f>
        <v>9</v>
      </c>
    </row>
    <row r="89" spans="1:25" x14ac:dyDescent="0.25">
      <c r="A89" s="15">
        <v>46102</v>
      </c>
      <c r="B89" t="s">
        <v>430</v>
      </c>
      <c r="C89" t="s">
        <v>114</v>
      </c>
      <c r="D89" t="s">
        <v>49</v>
      </c>
      <c r="E89" t="s">
        <v>106</v>
      </c>
      <c r="F89" t="s">
        <v>107</v>
      </c>
      <c r="G89" t="s">
        <v>115</v>
      </c>
      <c r="H89" t="s">
        <v>60</v>
      </c>
      <c r="I89" t="s">
        <v>115</v>
      </c>
      <c r="J89" t="s">
        <v>0</v>
      </c>
      <c r="K89" t="s">
        <v>2</v>
      </c>
      <c r="L89">
        <v>27477</v>
      </c>
      <c r="M89">
        <v>46</v>
      </c>
      <c r="N89">
        <v>26</v>
      </c>
      <c r="O89">
        <v>1337.9459999999999</v>
      </c>
      <c r="P89">
        <v>444.2</v>
      </c>
      <c r="Q89">
        <v>30</v>
      </c>
      <c r="R89">
        <v>7</v>
      </c>
      <c r="S89" t="s">
        <v>116</v>
      </c>
      <c r="T89">
        <v>6</v>
      </c>
      <c r="U89">
        <v>6</v>
      </c>
      <c r="V89">
        <v>1</v>
      </c>
      <c r="W89">
        <v>0</v>
      </c>
      <c r="X89">
        <v>0</v>
      </c>
      <c r="Y89" s="20">
        <f>SUM(Table1[[#This Row],[dty_type_cnt1]:[dty_type_cnt5]])</f>
        <v>13</v>
      </c>
    </row>
    <row r="90" spans="1:25" x14ac:dyDescent="0.25">
      <c r="A90" s="15">
        <v>46103</v>
      </c>
      <c r="B90" t="s">
        <v>430</v>
      </c>
      <c r="C90" t="s">
        <v>114</v>
      </c>
      <c r="D90" t="s">
        <v>46</v>
      </c>
      <c r="E90">
        <v>8</v>
      </c>
      <c r="F90" t="s">
        <v>61</v>
      </c>
      <c r="G90" t="s">
        <v>115</v>
      </c>
      <c r="H90" t="s">
        <v>60</v>
      </c>
      <c r="I90" t="s">
        <v>115</v>
      </c>
      <c r="J90" t="s">
        <v>0</v>
      </c>
      <c r="K90" t="s">
        <v>45</v>
      </c>
      <c r="L90">
        <v>27479</v>
      </c>
      <c r="M90">
        <v>34</v>
      </c>
      <c r="N90">
        <v>10</v>
      </c>
      <c r="O90">
        <v>1274.42</v>
      </c>
      <c r="P90">
        <v>280.10000000000002</v>
      </c>
      <c r="Q90">
        <v>25</v>
      </c>
      <c r="R90">
        <v>5</v>
      </c>
      <c r="S90" t="s">
        <v>116</v>
      </c>
      <c r="T90">
        <v>4</v>
      </c>
      <c r="U90">
        <v>5</v>
      </c>
      <c r="V90">
        <v>0</v>
      </c>
      <c r="W90">
        <v>0</v>
      </c>
      <c r="X90">
        <v>0</v>
      </c>
      <c r="Y90" s="20">
        <f>SUM(Table1[[#This Row],[dty_type_cnt1]:[dty_type_cnt5]])</f>
        <v>9</v>
      </c>
    </row>
    <row r="91" spans="1:25" x14ac:dyDescent="0.25">
      <c r="A91" s="15">
        <v>46103</v>
      </c>
      <c r="B91" t="s">
        <v>430</v>
      </c>
      <c r="C91" t="s">
        <v>114</v>
      </c>
      <c r="D91" t="s">
        <v>46</v>
      </c>
      <c r="E91">
        <v>11</v>
      </c>
      <c r="F91" t="s">
        <v>62</v>
      </c>
      <c r="G91" t="s">
        <v>115</v>
      </c>
      <c r="H91" t="s">
        <v>60</v>
      </c>
      <c r="I91" t="s">
        <v>115</v>
      </c>
      <c r="J91" t="s">
        <v>63</v>
      </c>
      <c r="K91" t="s">
        <v>45</v>
      </c>
      <c r="L91">
        <v>27479</v>
      </c>
      <c r="M91">
        <v>61</v>
      </c>
      <c r="N91">
        <v>16</v>
      </c>
      <c r="O91">
        <v>1655.5809999999999</v>
      </c>
      <c r="P91">
        <v>132.9</v>
      </c>
      <c r="Q91">
        <v>30</v>
      </c>
      <c r="R91">
        <v>5</v>
      </c>
      <c r="S91" t="s">
        <v>116</v>
      </c>
      <c r="T91">
        <v>4</v>
      </c>
      <c r="U91">
        <v>4</v>
      </c>
      <c r="V91">
        <v>0</v>
      </c>
      <c r="W91">
        <v>0</v>
      </c>
      <c r="X91">
        <v>0</v>
      </c>
      <c r="Y91" s="20">
        <f>SUM(Table1[[#This Row],[dty_type_cnt1]:[dty_type_cnt5]])</f>
        <v>8</v>
      </c>
    </row>
    <row r="92" spans="1:25" x14ac:dyDescent="0.25">
      <c r="A92" s="15">
        <v>46103</v>
      </c>
      <c r="B92" t="s">
        <v>430</v>
      </c>
      <c r="C92" t="s">
        <v>114</v>
      </c>
      <c r="D92" t="s">
        <v>46</v>
      </c>
      <c r="E92" t="s">
        <v>64</v>
      </c>
      <c r="F92" t="s">
        <v>65</v>
      </c>
      <c r="G92" t="s">
        <v>115</v>
      </c>
      <c r="H92" t="s">
        <v>60</v>
      </c>
      <c r="I92" t="s">
        <v>115</v>
      </c>
      <c r="J92" t="s">
        <v>47</v>
      </c>
      <c r="K92" t="s">
        <v>45</v>
      </c>
      <c r="L92">
        <v>27479</v>
      </c>
      <c r="M92">
        <v>114</v>
      </c>
      <c r="N92">
        <v>24</v>
      </c>
      <c r="O92">
        <v>1955.59</v>
      </c>
      <c r="P92">
        <v>595.5</v>
      </c>
      <c r="Q92">
        <v>15</v>
      </c>
      <c r="R92">
        <v>12</v>
      </c>
      <c r="S92" t="s">
        <v>116</v>
      </c>
      <c r="T92">
        <v>8</v>
      </c>
      <c r="U92">
        <v>10</v>
      </c>
      <c r="V92">
        <v>3</v>
      </c>
      <c r="W92">
        <v>0</v>
      </c>
      <c r="X92">
        <v>0</v>
      </c>
      <c r="Y92" s="20">
        <f>SUM(Table1[[#This Row],[dty_type_cnt1]:[dty_type_cnt5]])</f>
        <v>21</v>
      </c>
    </row>
    <row r="93" spans="1:25" x14ac:dyDescent="0.25">
      <c r="A93" s="15">
        <v>46103</v>
      </c>
      <c r="B93" t="s">
        <v>430</v>
      </c>
      <c r="C93" t="s">
        <v>114</v>
      </c>
      <c r="D93" t="s">
        <v>46</v>
      </c>
      <c r="E93">
        <v>16</v>
      </c>
      <c r="F93" t="s">
        <v>110</v>
      </c>
      <c r="G93" t="s">
        <v>115</v>
      </c>
      <c r="H93" t="s">
        <v>60</v>
      </c>
      <c r="I93" t="s">
        <v>115</v>
      </c>
      <c r="J93" t="s">
        <v>63</v>
      </c>
      <c r="K93" t="s">
        <v>45</v>
      </c>
      <c r="L93">
        <v>27479</v>
      </c>
      <c r="M93">
        <v>36</v>
      </c>
      <c r="N93">
        <v>8</v>
      </c>
      <c r="O93">
        <v>1104.2280000000001</v>
      </c>
      <c r="P93">
        <v>107.9</v>
      </c>
      <c r="Q93">
        <v>40</v>
      </c>
      <c r="R93">
        <v>3</v>
      </c>
      <c r="S93" t="s">
        <v>116</v>
      </c>
      <c r="T93">
        <v>3</v>
      </c>
      <c r="U93">
        <v>2</v>
      </c>
      <c r="V93">
        <v>2</v>
      </c>
      <c r="W93">
        <v>0</v>
      </c>
      <c r="X93">
        <v>0</v>
      </c>
      <c r="Y93" s="20">
        <f>SUM(Table1[[#This Row],[dty_type_cnt1]:[dty_type_cnt5]])</f>
        <v>7</v>
      </c>
    </row>
    <row r="94" spans="1:25" x14ac:dyDescent="0.25">
      <c r="A94" s="15">
        <v>46103</v>
      </c>
      <c r="B94" t="s">
        <v>430</v>
      </c>
      <c r="C94" t="s">
        <v>114</v>
      </c>
      <c r="D94" t="s">
        <v>46</v>
      </c>
      <c r="E94">
        <v>17</v>
      </c>
      <c r="F94" t="s">
        <v>144</v>
      </c>
      <c r="G94" t="s">
        <v>115</v>
      </c>
      <c r="H94" t="s">
        <v>60</v>
      </c>
      <c r="I94" t="s">
        <v>115</v>
      </c>
      <c r="J94" t="s">
        <v>63</v>
      </c>
      <c r="K94" t="s">
        <v>45</v>
      </c>
      <c r="L94">
        <v>27479</v>
      </c>
      <c r="M94">
        <v>66</v>
      </c>
      <c r="N94">
        <v>16</v>
      </c>
      <c r="O94">
        <v>1621.191</v>
      </c>
      <c r="P94">
        <v>389.2</v>
      </c>
      <c r="Q94">
        <v>25</v>
      </c>
      <c r="R94">
        <v>8</v>
      </c>
      <c r="S94" t="s">
        <v>116</v>
      </c>
      <c r="T94">
        <v>7</v>
      </c>
      <c r="U94">
        <v>7</v>
      </c>
      <c r="V94">
        <v>2</v>
      </c>
      <c r="W94">
        <v>0</v>
      </c>
      <c r="X94">
        <v>0</v>
      </c>
      <c r="Y94" s="20">
        <f>SUM(Table1[[#This Row],[dty_type_cnt1]:[dty_type_cnt5]])</f>
        <v>16</v>
      </c>
    </row>
    <row r="95" spans="1:25" x14ac:dyDescent="0.25">
      <c r="A95" s="15">
        <v>46103</v>
      </c>
      <c r="B95" t="s">
        <v>430</v>
      </c>
      <c r="C95" t="s">
        <v>114</v>
      </c>
      <c r="D95" t="s">
        <v>46</v>
      </c>
      <c r="E95" t="s">
        <v>66</v>
      </c>
      <c r="F95" t="s">
        <v>67</v>
      </c>
      <c r="G95" t="s">
        <v>115</v>
      </c>
      <c r="H95" t="s">
        <v>60</v>
      </c>
      <c r="I95" t="s">
        <v>115</v>
      </c>
      <c r="J95" t="s">
        <v>0</v>
      </c>
      <c r="K95" t="s">
        <v>45</v>
      </c>
      <c r="L95">
        <v>27479</v>
      </c>
      <c r="M95">
        <v>30</v>
      </c>
      <c r="N95">
        <v>6</v>
      </c>
      <c r="O95">
        <v>1384.5450000000001</v>
      </c>
      <c r="P95">
        <v>53.7</v>
      </c>
      <c r="Q95">
        <v>0</v>
      </c>
      <c r="R95">
        <v>2</v>
      </c>
      <c r="S95" t="s">
        <v>116</v>
      </c>
      <c r="T95">
        <v>4</v>
      </c>
      <c r="U95">
        <v>3</v>
      </c>
      <c r="V95">
        <v>1</v>
      </c>
      <c r="W95">
        <v>0</v>
      </c>
      <c r="X95">
        <v>0</v>
      </c>
      <c r="Y95" s="20">
        <f>SUM(Table1[[#This Row],[dty_type_cnt1]:[dty_type_cnt5]])</f>
        <v>8</v>
      </c>
    </row>
    <row r="96" spans="1:25" x14ac:dyDescent="0.25">
      <c r="A96" s="15">
        <v>46103</v>
      </c>
      <c r="B96" t="s">
        <v>430</v>
      </c>
      <c r="C96" t="s">
        <v>114</v>
      </c>
      <c r="D96" t="s">
        <v>46</v>
      </c>
      <c r="E96" t="s">
        <v>68</v>
      </c>
      <c r="F96" t="s">
        <v>69</v>
      </c>
      <c r="G96" t="s">
        <v>115</v>
      </c>
      <c r="H96" t="s">
        <v>60</v>
      </c>
      <c r="I96" t="s">
        <v>115</v>
      </c>
      <c r="J96" t="s">
        <v>0</v>
      </c>
      <c r="K96" t="s">
        <v>45</v>
      </c>
      <c r="L96">
        <v>27479</v>
      </c>
      <c r="M96">
        <v>31</v>
      </c>
      <c r="N96">
        <v>8</v>
      </c>
      <c r="O96">
        <v>1423.585</v>
      </c>
      <c r="P96">
        <v>93.5</v>
      </c>
      <c r="Q96">
        <v>30</v>
      </c>
      <c r="R96">
        <v>5</v>
      </c>
      <c r="S96" t="s">
        <v>116</v>
      </c>
      <c r="T96">
        <v>2</v>
      </c>
      <c r="U96">
        <v>2</v>
      </c>
      <c r="V96">
        <v>1</v>
      </c>
      <c r="W96">
        <v>0</v>
      </c>
      <c r="X96">
        <v>0</v>
      </c>
      <c r="Y96" s="20">
        <f>SUM(Table1[[#This Row],[dty_type_cnt1]:[dty_type_cnt5]])</f>
        <v>5</v>
      </c>
    </row>
    <row r="97" spans="1:25" x14ac:dyDescent="0.25">
      <c r="A97" s="15">
        <v>46103</v>
      </c>
      <c r="B97" t="s">
        <v>430</v>
      </c>
      <c r="C97" t="s">
        <v>114</v>
      </c>
      <c r="D97" t="s">
        <v>46</v>
      </c>
      <c r="E97">
        <v>24</v>
      </c>
      <c r="F97" t="s">
        <v>71</v>
      </c>
      <c r="G97" t="s">
        <v>115</v>
      </c>
      <c r="H97" t="s">
        <v>60</v>
      </c>
      <c r="I97" t="s">
        <v>115</v>
      </c>
      <c r="J97" t="s">
        <v>47</v>
      </c>
      <c r="K97" t="s">
        <v>45</v>
      </c>
      <c r="L97">
        <v>27479</v>
      </c>
      <c r="M97">
        <v>68</v>
      </c>
      <c r="N97">
        <v>16</v>
      </c>
      <c r="O97">
        <v>1250.32</v>
      </c>
      <c r="P97">
        <v>315.5</v>
      </c>
      <c r="Q97">
        <v>20</v>
      </c>
      <c r="R97">
        <v>6</v>
      </c>
      <c r="S97" t="s">
        <v>116</v>
      </c>
      <c r="T97">
        <v>6</v>
      </c>
      <c r="U97">
        <v>3</v>
      </c>
      <c r="V97">
        <v>4</v>
      </c>
      <c r="W97">
        <v>0</v>
      </c>
      <c r="X97">
        <v>0</v>
      </c>
      <c r="Y97" s="20">
        <f>SUM(Table1[[#This Row],[dty_type_cnt1]:[dty_type_cnt5]])</f>
        <v>13</v>
      </c>
    </row>
    <row r="98" spans="1:25" x14ac:dyDescent="0.25">
      <c r="A98" s="15">
        <v>46103</v>
      </c>
      <c r="B98" t="s">
        <v>430</v>
      </c>
      <c r="C98" t="s">
        <v>114</v>
      </c>
      <c r="D98" t="s">
        <v>46</v>
      </c>
      <c r="E98">
        <v>31</v>
      </c>
      <c r="F98" t="s">
        <v>149</v>
      </c>
      <c r="G98" t="s">
        <v>115</v>
      </c>
      <c r="H98" t="s">
        <v>60</v>
      </c>
      <c r="I98" t="s">
        <v>115</v>
      </c>
      <c r="J98" t="s">
        <v>63</v>
      </c>
      <c r="K98" t="s">
        <v>45</v>
      </c>
      <c r="L98">
        <v>27479</v>
      </c>
      <c r="M98">
        <v>41</v>
      </c>
      <c r="N98">
        <v>10</v>
      </c>
      <c r="O98">
        <v>752.39099999999996</v>
      </c>
      <c r="P98">
        <v>83.5</v>
      </c>
      <c r="Q98">
        <v>20</v>
      </c>
      <c r="R98">
        <v>4</v>
      </c>
      <c r="S98" t="s">
        <v>116</v>
      </c>
      <c r="T98">
        <v>4</v>
      </c>
      <c r="U98">
        <v>4</v>
      </c>
      <c r="V98">
        <v>0</v>
      </c>
      <c r="W98">
        <v>0</v>
      </c>
      <c r="X98">
        <v>0</v>
      </c>
      <c r="Y98" s="20">
        <f>SUM(Table1[[#This Row],[dty_type_cnt1]:[dty_type_cnt5]])</f>
        <v>8</v>
      </c>
    </row>
    <row r="99" spans="1:25" x14ac:dyDescent="0.25">
      <c r="A99" s="15">
        <v>46103</v>
      </c>
      <c r="B99" t="s">
        <v>430</v>
      </c>
      <c r="C99" t="s">
        <v>114</v>
      </c>
      <c r="D99" t="s">
        <v>46</v>
      </c>
      <c r="E99">
        <v>310</v>
      </c>
      <c r="F99" t="s">
        <v>72</v>
      </c>
      <c r="G99" t="s">
        <v>115</v>
      </c>
      <c r="H99" t="s">
        <v>60</v>
      </c>
      <c r="I99" t="s">
        <v>115</v>
      </c>
      <c r="J99" t="s">
        <v>0</v>
      </c>
      <c r="K99" t="s">
        <v>45</v>
      </c>
      <c r="L99">
        <v>27479</v>
      </c>
      <c r="M99">
        <v>88</v>
      </c>
      <c r="N99">
        <v>18</v>
      </c>
      <c r="O99">
        <v>2615.6280000000002</v>
      </c>
      <c r="P99">
        <v>246.5</v>
      </c>
      <c r="Q99">
        <v>8</v>
      </c>
      <c r="R99">
        <v>9</v>
      </c>
      <c r="S99" t="s">
        <v>116</v>
      </c>
      <c r="T99">
        <v>5</v>
      </c>
      <c r="U99">
        <v>7</v>
      </c>
      <c r="V99">
        <v>2</v>
      </c>
      <c r="W99">
        <v>0</v>
      </c>
      <c r="X99">
        <v>0</v>
      </c>
      <c r="Y99" s="20">
        <f>SUM(Table1[[#This Row],[dty_type_cnt1]:[dty_type_cnt5]])</f>
        <v>14</v>
      </c>
    </row>
    <row r="100" spans="1:25" x14ac:dyDescent="0.25">
      <c r="A100" s="15">
        <v>46103</v>
      </c>
      <c r="B100" t="s">
        <v>430</v>
      </c>
      <c r="C100" t="s">
        <v>114</v>
      </c>
      <c r="D100" t="s">
        <v>46</v>
      </c>
      <c r="E100">
        <v>320</v>
      </c>
      <c r="F100" t="s">
        <v>73</v>
      </c>
      <c r="G100" t="s">
        <v>115</v>
      </c>
      <c r="H100" t="s">
        <v>60</v>
      </c>
      <c r="I100" t="s">
        <v>115</v>
      </c>
      <c r="J100" t="s">
        <v>0</v>
      </c>
      <c r="K100" t="s">
        <v>45</v>
      </c>
      <c r="L100">
        <v>27479</v>
      </c>
      <c r="M100">
        <v>90</v>
      </c>
      <c r="N100">
        <v>24</v>
      </c>
      <c r="O100">
        <v>3182.8649999999998</v>
      </c>
      <c r="P100">
        <v>190.4</v>
      </c>
      <c r="Q100">
        <v>20</v>
      </c>
      <c r="R100">
        <v>9</v>
      </c>
      <c r="S100" t="s">
        <v>116</v>
      </c>
      <c r="T100">
        <v>9</v>
      </c>
      <c r="U100">
        <v>5</v>
      </c>
      <c r="V100">
        <v>4</v>
      </c>
      <c r="W100">
        <v>0</v>
      </c>
      <c r="X100">
        <v>0</v>
      </c>
      <c r="Y100" s="20">
        <f>SUM(Table1[[#This Row],[dty_type_cnt1]:[dty_type_cnt5]])</f>
        <v>18</v>
      </c>
    </row>
    <row r="101" spans="1:25" x14ac:dyDescent="0.25">
      <c r="A101" s="15">
        <v>46103</v>
      </c>
      <c r="B101" t="s">
        <v>430</v>
      </c>
      <c r="C101" t="s">
        <v>114</v>
      </c>
      <c r="D101" t="s">
        <v>46</v>
      </c>
      <c r="E101" t="s">
        <v>137</v>
      </c>
      <c r="F101" t="s">
        <v>138</v>
      </c>
      <c r="G101" t="s">
        <v>115</v>
      </c>
      <c r="H101" t="s">
        <v>60</v>
      </c>
      <c r="I101" t="s">
        <v>115</v>
      </c>
      <c r="J101" t="s">
        <v>0</v>
      </c>
      <c r="K101" t="s">
        <v>45</v>
      </c>
      <c r="L101">
        <v>27479</v>
      </c>
      <c r="M101">
        <v>21</v>
      </c>
      <c r="N101">
        <v>6</v>
      </c>
      <c r="O101">
        <v>1073.163</v>
      </c>
      <c r="P101">
        <v>85.6</v>
      </c>
      <c r="Q101">
        <v>0</v>
      </c>
      <c r="R101">
        <v>4</v>
      </c>
      <c r="S101" t="s">
        <v>116</v>
      </c>
      <c r="T101">
        <v>3</v>
      </c>
      <c r="U101">
        <v>2</v>
      </c>
      <c r="V101">
        <v>3</v>
      </c>
      <c r="W101">
        <v>0</v>
      </c>
      <c r="X101">
        <v>0</v>
      </c>
      <c r="Y101" s="20">
        <f>SUM(Table1[[#This Row],[dty_type_cnt1]:[dty_type_cnt5]])</f>
        <v>8</v>
      </c>
    </row>
    <row r="102" spans="1:25" x14ac:dyDescent="0.25">
      <c r="A102" s="15">
        <v>46103</v>
      </c>
      <c r="B102" t="s">
        <v>430</v>
      </c>
      <c r="C102" t="s">
        <v>114</v>
      </c>
      <c r="D102" t="s">
        <v>46</v>
      </c>
      <c r="E102" t="s">
        <v>139</v>
      </c>
      <c r="F102" t="s">
        <v>140</v>
      </c>
      <c r="G102" t="s">
        <v>115</v>
      </c>
      <c r="H102" t="s">
        <v>60</v>
      </c>
      <c r="I102" t="s">
        <v>115</v>
      </c>
      <c r="J102" t="s">
        <v>0</v>
      </c>
      <c r="K102" t="s">
        <v>45</v>
      </c>
      <c r="L102">
        <v>27479</v>
      </c>
      <c r="M102">
        <v>21</v>
      </c>
      <c r="N102">
        <v>6</v>
      </c>
      <c r="O102">
        <v>991.62</v>
      </c>
      <c r="P102">
        <v>90</v>
      </c>
      <c r="Q102">
        <v>30</v>
      </c>
      <c r="R102">
        <v>2</v>
      </c>
      <c r="S102" t="s">
        <v>116</v>
      </c>
      <c r="T102">
        <v>1</v>
      </c>
      <c r="U102">
        <v>1</v>
      </c>
      <c r="V102">
        <v>2</v>
      </c>
      <c r="W102">
        <v>0</v>
      </c>
      <c r="X102">
        <v>0</v>
      </c>
      <c r="Y102" s="20">
        <f>SUM(Table1[[#This Row],[dty_type_cnt1]:[dty_type_cnt5]])</f>
        <v>4</v>
      </c>
    </row>
    <row r="103" spans="1:25" x14ac:dyDescent="0.25">
      <c r="A103" s="15">
        <v>46103</v>
      </c>
      <c r="B103" t="s">
        <v>430</v>
      </c>
      <c r="C103" t="s">
        <v>114</v>
      </c>
      <c r="D103" t="s">
        <v>46</v>
      </c>
      <c r="E103">
        <v>44</v>
      </c>
      <c r="F103" t="s">
        <v>117</v>
      </c>
      <c r="G103" t="s">
        <v>115</v>
      </c>
      <c r="H103" t="s">
        <v>60</v>
      </c>
      <c r="I103" t="s">
        <v>115</v>
      </c>
      <c r="J103" t="s">
        <v>0</v>
      </c>
      <c r="K103" t="s">
        <v>45</v>
      </c>
      <c r="L103">
        <v>27479</v>
      </c>
      <c r="M103">
        <v>35</v>
      </c>
      <c r="N103">
        <v>8</v>
      </c>
      <c r="O103">
        <v>1116.934</v>
      </c>
      <c r="P103">
        <v>143.30000000000001</v>
      </c>
      <c r="Q103">
        <v>29</v>
      </c>
      <c r="R103">
        <v>4</v>
      </c>
      <c r="S103" t="s">
        <v>116</v>
      </c>
      <c r="T103">
        <v>4</v>
      </c>
      <c r="U103">
        <v>2</v>
      </c>
      <c r="V103">
        <v>2</v>
      </c>
      <c r="W103">
        <v>0</v>
      </c>
      <c r="X103">
        <v>0</v>
      </c>
      <c r="Y103" s="20">
        <f>SUM(Table1[[#This Row],[dty_type_cnt1]:[dty_type_cnt5]])</f>
        <v>8</v>
      </c>
    </row>
    <row r="104" spans="1:25" x14ac:dyDescent="0.25">
      <c r="A104" s="15">
        <v>46103</v>
      </c>
      <c r="B104" t="s">
        <v>430</v>
      </c>
      <c r="C104" t="s">
        <v>114</v>
      </c>
      <c r="D104" t="s">
        <v>46</v>
      </c>
      <c r="E104">
        <v>50</v>
      </c>
      <c r="F104" t="s">
        <v>118</v>
      </c>
      <c r="G104" t="s">
        <v>115</v>
      </c>
      <c r="H104" t="s">
        <v>60</v>
      </c>
      <c r="I104" t="s">
        <v>115</v>
      </c>
      <c r="J104" t="s">
        <v>0</v>
      </c>
      <c r="K104" t="s">
        <v>45</v>
      </c>
      <c r="L104">
        <v>27479</v>
      </c>
      <c r="M104">
        <v>52</v>
      </c>
      <c r="N104">
        <v>12</v>
      </c>
      <c r="O104">
        <v>2036.086</v>
      </c>
      <c r="P104">
        <v>170.6</v>
      </c>
      <c r="Q104">
        <v>30</v>
      </c>
      <c r="R104">
        <v>6</v>
      </c>
      <c r="S104" t="s">
        <v>116</v>
      </c>
      <c r="T104">
        <v>5</v>
      </c>
      <c r="U104">
        <v>6</v>
      </c>
      <c r="V104">
        <v>2</v>
      </c>
      <c r="W104">
        <v>0</v>
      </c>
      <c r="X104">
        <v>0</v>
      </c>
      <c r="Y104" s="20">
        <f>SUM(Table1[[#This Row],[dty_type_cnt1]:[dty_type_cnt5]])</f>
        <v>13</v>
      </c>
    </row>
    <row r="105" spans="1:25" x14ac:dyDescent="0.25">
      <c r="A105" s="15">
        <v>46103</v>
      </c>
      <c r="B105" t="s">
        <v>430</v>
      </c>
      <c r="C105" t="s">
        <v>114</v>
      </c>
      <c r="D105" t="s">
        <v>46</v>
      </c>
      <c r="E105">
        <v>53</v>
      </c>
      <c r="F105" t="s">
        <v>74</v>
      </c>
      <c r="G105" t="s">
        <v>115</v>
      </c>
      <c r="H105" t="s">
        <v>60</v>
      </c>
      <c r="I105" t="s">
        <v>115</v>
      </c>
      <c r="J105" t="s">
        <v>0</v>
      </c>
      <c r="K105" t="s">
        <v>45</v>
      </c>
      <c r="L105">
        <v>27479</v>
      </c>
      <c r="M105">
        <v>98</v>
      </c>
      <c r="N105">
        <v>20</v>
      </c>
      <c r="O105">
        <v>3239.2429999999999</v>
      </c>
      <c r="P105">
        <v>462.6</v>
      </c>
      <c r="Q105">
        <v>20</v>
      </c>
      <c r="R105">
        <v>10</v>
      </c>
      <c r="S105" t="s">
        <v>116</v>
      </c>
      <c r="T105">
        <v>9</v>
      </c>
      <c r="U105">
        <v>6</v>
      </c>
      <c r="V105">
        <v>8</v>
      </c>
      <c r="W105">
        <v>0</v>
      </c>
      <c r="X105">
        <v>0</v>
      </c>
      <c r="Y105" s="20">
        <f>SUM(Table1[[#This Row],[dty_type_cnt1]:[dty_type_cnt5]])</f>
        <v>23</v>
      </c>
    </row>
    <row r="106" spans="1:25" x14ac:dyDescent="0.25">
      <c r="A106" s="15">
        <v>46103</v>
      </c>
      <c r="B106" t="s">
        <v>430</v>
      </c>
      <c r="C106" t="s">
        <v>114</v>
      </c>
      <c r="D106" t="s">
        <v>46</v>
      </c>
      <c r="E106">
        <v>55</v>
      </c>
      <c r="F106" t="s">
        <v>48</v>
      </c>
      <c r="G106" t="s">
        <v>115</v>
      </c>
      <c r="H106" t="s">
        <v>60</v>
      </c>
      <c r="I106" t="s">
        <v>115</v>
      </c>
      <c r="J106" t="s">
        <v>0</v>
      </c>
      <c r="K106" t="s">
        <v>45</v>
      </c>
      <c r="L106">
        <v>27479</v>
      </c>
      <c r="M106">
        <v>53</v>
      </c>
      <c r="N106">
        <v>8</v>
      </c>
      <c r="O106">
        <v>1402.6410000000001</v>
      </c>
      <c r="P106">
        <v>125.9</v>
      </c>
      <c r="Q106">
        <v>25</v>
      </c>
      <c r="R106">
        <v>4</v>
      </c>
      <c r="S106" t="s">
        <v>116</v>
      </c>
      <c r="T106">
        <v>4</v>
      </c>
      <c r="U106">
        <v>4</v>
      </c>
      <c r="V106">
        <v>0</v>
      </c>
      <c r="W106">
        <v>0</v>
      </c>
      <c r="X106">
        <v>0</v>
      </c>
      <c r="Y106" s="20">
        <f>SUM(Table1[[#This Row],[dty_type_cnt1]:[dty_type_cnt5]])</f>
        <v>8</v>
      </c>
    </row>
    <row r="107" spans="1:25" x14ac:dyDescent="0.25">
      <c r="A107" s="15">
        <v>46103</v>
      </c>
      <c r="B107" t="s">
        <v>430</v>
      </c>
      <c r="C107" t="s">
        <v>114</v>
      </c>
      <c r="D107" t="s">
        <v>46</v>
      </c>
      <c r="E107">
        <v>64</v>
      </c>
      <c r="F107" t="s">
        <v>75</v>
      </c>
      <c r="G107" t="s">
        <v>115</v>
      </c>
      <c r="H107" t="s">
        <v>60</v>
      </c>
      <c r="I107" t="s">
        <v>115</v>
      </c>
      <c r="J107" t="s">
        <v>76</v>
      </c>
      <c r="K107" t="s">
        <v>45</v>
      </c>
      <c r="L107">
        <v>27479</v>
      </c>
      <c r="M107">
        <v>62</v>
      </c>
      <c r="N107">
        <v>12</v>
      </c>
      <c r="O107">
        <v>2050.6190000000001</v>
      </c>
      <c r="P107">
        <v>297</v>
      </c>
      <c r="Q107">
        <v>25</v>
      </c>
      <c r="R107">
        <v>6</v>
      </c>
      <c r="S107" t="s">
        <v>116</v>
      </c>
      <c r="T107">
        <v>8</v>
      </c>
      <c r="U107">
        <v>4</v>
      </c>
      <c r="V107">
        <v>2</v>
      </c>
      <c r="W107">
        <v>0</v>
      </c>
      <c r="X107">
        <v>0</v>
      </c>
      <c r="Y107" s="20">
        <f>SUM(Table1[[#This Row],[dty_type_cnt1]:[dty_type_cnt5]])</f>
        <v>14</v>
      </c>
    </row>
    <row r="108" spans="1:25" x14ac:dyDescent="0.25">
      <c r="A108" s="15">
        <v>46103</v>
      </c>
      <c r="B108" t="s">
        <v>430</v>
      </c>
      <c r="C108" t="s">
        <v>114</v>
      </c>
      <c r="D108" t="s">
        <v>46</v>
      </c>
      <c r="E108">
        <v>77</v>
      </c>
      <c r="F108" t="s">
        <v>150</v>
      </c>
      <c r="G108" t="s">
        <v>115</v>
      </c>
      <c r="H108" t="s">
        <v>60</v>
      </c>
      <c r="I108" t="s">
        <v>115</v>
      </c>
      <c r="J108" t="s">
        <v>0</v>
      </c>
      <c r="K108" t="s">
        <v>45</v>
      </c>
      <c r="L108">
        <v>27479</v>
      </c>
      <c r="M108">
        <v>70</v>
      </c>
      <c r="N108">
        <v>10</v>
      </c>
      <c r="O108">
        <v>856.27499999999998</v>
      </c>
      <c r="P108">
        <v>196.2</v>
      </c>
      <c r="Q108">
        <v>20</v>
      </c>
      <c r="R108">
        <v>5</v>
      </c>
      <c r="S108" t="s">
        <v>116</v>
      </c>
      <c r="T108">
        <v>7</v>
      </c>
      <c r="U108">
        <v>1</v>
      </c>
      <c r="V108">
        <v>2</v>
      </c>
      <c r="W108">
        <v>0</v>
      </c>
      <c r="X108">
        <v>0</v>
      </c>
      <c r="Y108" s="20">
        <f>SUM(Table1[[#This Row],[dty_type_cnt1]:[dty_type_cnt5]])</f>
        <v>10</v>
      </c>
    </row>
    <row r="109" spans="1:25" x14ac:dyDescent="0.25">
      <c r="A109" s="15">
        <v>46103</v>
      </c>
      <c r="B109" t="s">
        <v>430</v>
      </c>
      <c r="C109" t="s">
        <v>114</v>
      </c>
      <c r="D109" t="s">
        <v>46</v>
      </c>
      <c r="E109">
        <v>88</v>
      </c>
      <c r="F109" t="s">
        <v>119</v>
      </c>
      <c r="G109" t="s">
        <v>115</v>
      </c>
      <c r="H109" t="s">
        <v>60</v>
      </c>
      <c r="I109" t="s">
        <v>115</v>
      </c>
      <c r="J109" t="s">
        <v>0</v>
      </c>
      <c r="K109" t="s">
        <v>45</v>
      </c>
      <c r="L109">
        <v>27479</v>
      </c>
      <c r="M109">
        <v>30</v>
      </c>
      <c r="N109">
        <v>8</v>
      </c>
      <c r="O109">
        <v>925.72500000000002</v>
      </c>
      <c r="P109">
        <v>187.6</v>
      </c>
      <c r="Q109">
        <v>30</v>
      </c>
      <c r="R109">
        <v>4</v>
      </c>
      <c r="S109" t="s">
        <v>116</v>
      </c>
      <c r="T109">
        <v>4</v>
      </c>
      <c r="U109">
        <v>4</v>
      </c>
      <c r="V109">
        <v>0</v>
      </c>
      <c r="W109">
        <v>0</v>
      </c>
      <c r="X109">
        <v>0</v>
      </c>
      <c r="Y109" s="20">
        <f>SUM(Table1[[#This Row],[dty_type_cnt1]:[dty_type_cnt5]])</f>
        <v>8</v>
      </c>
    </row>
    <row r="110" spans="1:25" x14ac:dyDescent="0.25">
      <c r="A110" s="15">
        <v>46103</v>
      </c>
      <c r="B110" t="s">
        <v>430</v>
      </c>
      <c r="C110" t="s">
        <v>114</v>
      </c>
      <c r="D110" t="s">
        <v>46</v>
      </c>
      <c r="E110" t="s">
        <v>120</v>
      </c>
      <c r="F110" t="s">
        <v>121</v>
      </c>
      <c r="G110" t="s">
        <v>115</v>
      </c>
      <c r="H110" t="s">
        <v>60</v>
      </c>
      <c r="I110" t="s">
        <v>115</v>
      </c>
      <c r="J110" t="s">
        <v>47</v>
      </c>
      <c r="K110" t="s">
        <v>45</v>
      </c>
      <c r="L110">
        <v>27479</v>
      </c>
      <c r="M110">
        <v>57</v>
      </c>
      <c r="N110">
        <v>10</v>
      </c>
      <c r="O110">
        <v>971.27099999999996</v>
      </c>
      <c r="P110">
        <v>243.7</v>
      </c>
      <c r="Q110">
        <v>20</v>
      </c>
      <c r="R110">
        <v>5</v>
      </c>
      <c r="S110" t="s">
        <v>116</v>
      </c>
      <c r="T110">
        <v>3</v>
      </c>
      <c r="U110">
        <v>3</v>
      </c>
      <c r="V110">
        <v>6</v>
      </c>
      <c r="W110">
        <v>0</v>
      </c>
      <c r="X110">
        <v>0</v>
      </c>
      <c r="Y110" s="20">
        <f>SUM(Table1[[#This Row],[dty_type_cnt1]:[dty_type_cnt5]])</f>
        <v>12</v>
      </c>
    </row>
    <row r="111" spans="1:25" x14ac:dyDescent="0.25">
      <c r="A111" s="15">
        <v>46103</v>
      </c>
      <c r="B111" t="s">
        <v>430</v>
      </c>
      <c r="C111" t="s">
        <v>114</v>
      </c>
      <c r="D111" t="s">
        <v>46</v>
      </c>
      <c r="E111" t="s">
        <v>52</v>
      </c>
      <c r="F111" t="s">
        <v>53</v>
      </c>
      <c r="G111" t="s">
        <v>115</v>
      </c>
      <c r="H111" t="s">
        <v>60</v>
      </c>
      <c r="I111" t="s">
        <v>115</v>
      </c>
      <c r="J111" t="s">
        <v>0</v>
      </c>
      <c r="K111" t="s">
        <v>45</v>
      </c>
      <c r="L111">
        <v>27479</v>
      </c>
      <c r="M111">
        <v>78</v>
      </c>
      <c r="N111">
        <v>16</v>
      </c>
      <c r="O111">
        <v>1851.7</v>
      </c>
      <c r="P111">
        <v>432.3</v>
      </c>
      <c r="Q111">
        <v>20</v>
      </c>
      <c r="R111">
        <v>7</v>
      </c>
      <c r="S111" t="s">
        <v>116</v>
      </c>
      <c r="T111">
        <v>9</v>
      </c>
      <c r="U111">
        <v>4</v>
      </c>
      <c r="V111">
        <v>6</v>
      </c>
      <c r="W111">
        <v>0</v>
      </c>
      <c r="X111">
        <v>0</v>
      </c>
      <c r="Y111" s="20">
        <f>SUM(Table1[[#This Row],[dty_type_cnt1]:[dty_type_cnt5]])</f>
        <v>19</v>
      </c>
    </row>
    <row r="112" spans="1:25" x14ac:dyDescent="0.25">
      <c r="A112" s="15">
        <v>46103</v>
      </c>
      <c r="B112" t="s">
        <v>430</v>
      </c>
      <c r="C112" t="s">
        <v>114</v>
      </c>
      <c r="D112" t="s">
        <v>46</v>
      </c>
      <c r="E112" t="s">
        <v>122</v>
      </c>
      <c r="F112" t="s">
        <v>123</v>
      </c>
      <c r="G112" t="s">
        <v>115</v>
      </c>
      <c r="H112" t="s">
        <v>60</v>
      </c>
      <c r="I112" t="s">
        <v>115</v>
      </c>
      <c r="J112" t="s">
        <v>63</v>
      </c>
      <c r="K112" t="s">
        <v>45</v>
      </c>
      <c r="L112">
        <v>27479</v>
      </c>
      <c r="M112">
        <v>26</v>
      </c>
      <c r="N112">
        <v>4</v>
      </c>
      <c r="O112">
        <v>513.34400000000005</v>
      </c>
      <c r="P112">
        <v>93.8</v>
      </c>
      <c r="Q112">
        <v>35</v>
      </c>
      <c r="R112">
        <v>2</v>
      </c>
      <c r="S112" t="s">
        <v>116</v>
      </c>
      <c r="T112">
        <v>2</v>
      </c>
      <c r="U112">
        <v>2</v>
      </c>
      <c r="V112">
        <v>0</v>
      </c>
      <c r="W112">
        <v>0</v>
      </c>
      <c r="X112">
        <v>0</v>
      </c>
      <c r="Y112" s="20">
        <f>SUM(Table1[[#This Row],[dty_type_cnt1]:[dty_type_cnt5]])</f>
        <v>4</v>
      </c>
    </row>
    <row r="113" spans="1:25" x14ac:dyDescent="0.25">
      <c r="A113" s="15">
        <v>46103</v>
      </c>
      <c r="B113" t="s">
        <v>430</v>
      </c>
      <c r="C113" t="s">
        <v>114</v>
      </c>
      <c r="D113" t="s">
        <v>46</v>
      </c>
      <c r="E113" t="s">
        <v>124</v>
      </c>
      <c r="F113" t="s">
        <v>125</v>
      </c>
      <c r="G113" t="s">
        <v>115</v>
      </c>
      <c r="H113" t="s">
        <v>60</v>
      </c>
      <c r="I113" t="s">
        <v>115</v>
      </c>
      <c r="J113" t="s">
        <v>0</v>
      </c>
      <c r="K113" t="s">
        <v>45</v>
      </c>
      <c r="L113">
        <v>27479</v>
      </c>
      <c r="M113">
        <v>38</v>
      </c>
      <c r="N113">
        <v>8</v>
      </c>
      <c r="O113">
        <v>778.86099999999999</v>
      </c>
      <c r="P113">
        <v>196</v>
      </c>
      <c r="Q113">
        <v>35</v>
      </c>
      <c r="R113">
        <v>4</v>
      </c>
      <c r="S113" t="s">
        <v>116</v>
      </c>
      <c r="T113">
        <v>3</v>
      </c>
      <c r="U113">
        <v>4</v>
      </c>
      <c r="V113">
        <v>0</v>
      </c>
      <c r="W113">
        <v>0</v>
      </c>
      <c r="X113">
        <v>0</v>
      </c>
      <c r="Y113" s="20">
        <f>SUM(Table1[[#This Row],[dty_type_cnt1]:[dty_type_cnt5]])</f>
        <v>7</v>
      </c>
    </row>
    <row r="114" spans="1:25" x14ac:dyDescent="0.25">
      <c r="A114" s="15">
        <v>46103</v>
      </c>
      <c r="B114" t="s">
        <v>430</v>
      </c>
      <c r="C114" t="s">
        <v>114</v>
      </c>
      <c r="D114" t="s">
        <v>54</v>
      </c>
      <c r="E114" t="s">
        <v>82</v>
      </c>
      <c r="F114" t="s">
        <v>83</v>
      </c>
      <c r="G114" t="s">
        <v>115</v>
      </c>
      <c r="H114" t="s">
        <v>60</v>
      </c>
      <c r="I114" t="s">
        <v>115</v>
      </c>
      <c r="J114" t="s">
        <v>0</v>
      </c>
      <c r="K114" t="s">
        <v>45</v>
      </c>
      <c r="L114">
        <v>27479</v>
      </c>
      <c r="M114">
        <v>29</v>
      </c>
      <c r="N114">
        <v>4</v>
      </c>
      <c r="O114">
        <v>786.53800000000001</v>
      </c>
      <c r="P114">
        <v>18.5</v>
      </c>
      <c r="Q114">
        <v>30</v>
      </c>
      <c r="R114">
        <v>2</v>
      </c>
      <c r="S114" t="s">
        <v>116</v>
      </c>
      <c r="T114">
        <v>1</v>
      </c>
      <c r="U114">
        <v>2</v>
      </c>
      <c r="V114">
        <v>1</v>
      </c>
      <c r="W114">
        <v>0</v>
      </c>
      <c r="X114">
        <v>0</v>
      </c>
      <c r="Y114" s="20">
        <f>SUM(Table1[[#This Row],[dty_type_cnt1]:[dty_type_cnt5]])</f>
        <v>4</v>
      </c>
    </row>
    <row r="115" spans="1:25" x14ac:dyDescent="0.25">
      <c r="A115" s="15">
        <v>46103</v>
      </c>
      <c r="B115" t="s">
        <v>430</v>
      </c>
      <c r="C115" t="s">
        <v>114</v>
      </c>
      <c r="D115" t="s">
        <v>54</v>
      </c>
      <c r="E115" t="s">
        <v>84</v>
      </c>
      <c r="F115" t="s">
        <v>148</v>
      </c>
      <c r="G115" t="s">
        <v>115</v>
      </c>
      <c r="H115" t="s">
        <v>60</v>
      </c>
      <c r="I115" t="s">
        <v>115</v>
      </c>
      <c r="J115" t="s">
        <v>0</v>
      </c>
      <c r="K115" t="s">
        <v>45</v>
      </c>
      <c r="L115">
        <v>27479</v>
      </c>
      <c r="M115">
        <v>36</v>
      </c>
      <c r="N115">
        <v>6</v>
      </c>
      <c r="O115">
        <v>560.39700000000005</v>
      </c>
      <c r="P115">
        <v>155.6</v>
      </c>
      <c r="Q115">
        <v>25</v>
      </c>
      <c r="R115">
        <v>3</v>
      </c>
      <c r="S115" t="s">
        <v>116</v>
      </c>
      <c r="T115">
        <v>3</v>
      </c>
      <c r="U115">
        <v>2</v>
      </c>
      <c r="V115">
        <v>1</v>
      </c>
      <c r="W115">
        <v>0</v>
      </c>
      <c r="X115">
        <v>0</v>
      </c>
      <c r="Y115" s="20">
        <f>SUM(Table1[[#This Row],[dty_type_cnt1]:[dty_type_cnt5]])</f>
        <v>6</v>
      </c>
    </row>
    <row r="116" spans="1:25" x14ac:dyDescent="0.25">
      <c r="A116" s="15">
        <v>46103</v>
      </c>
      <c r="B116" t="s">
        <v>430</v>
      </c>
      <c r="C116" t="s">
        <v>114</v>
      </c>
      <c r="D116" t="s">
        <v>54</v>
      </c>
      <c r="E116" t="s">
        <v>85</v>
      </c>
      <c r="F116" t="s">
        <v>86</v>
      </c>
      <c r="G116" t="s">
        <v>115</v>
      </c>
      <c r="H116" t="s">
        <v>60</v>
      </c>
      <c r="I116" t="s">
        <v>115</v>
      </c>
      <c r="J116" t="s">
        <v>63</v>
      </c>
      <c r="K116" t="s">
        <v>45</v>
      </c>
      <c r="L116">
        <v>27479</v>
      </c>
      <c r="M116">
        <v>36</v>
      </c>
      <c r="N116">
        <v>7</v>
      </c>
      <c r="O116">
        <v>911.80799999999999</v>
      </c>
      <c r="P116">
        <v>108.726</v>
      </c>
      <c r="Q116">
        <v>55</v>
      </c>
      <c r="R116">
        <v>3</v>
      </c>
      <c r="S116" t="s">
        <v>116</v>
      </c>
      <c r="T116">
        <v>2</v>
      </c>
      <c r="U116">
        <v>2</v>
      </c>
      <c r="V116">
        <v>0</v>
      </c>
      <c r="W116">
        <v>0</v>
      </c>
      <c r="X116">
        <v>0</v>
      </c>
      <c r="Y116" s="20">
        <f>SUM(Table1[[#This Row],[dty_type_cnt1]:[dty_type_cnt5]])</f>
        <v>4</v>
      </c>
    </row>
    <row r="117" spans="1:25" x14ac:dyDescent="0.25">
      <c r="A117" s="15">
        <v>46103</v>
      </c>
      <c r="B117" t="s">
        <v>430</v>
      </c>
      <c r="C117" t="s">
        <v>114</v>
      </c>
      <c r="D117" t="s">
        <v>54</v>
      </c>
      <c r="E117" t="s">
        <v>87</v>
      </c>
      <c r="F117" t="s">
        <v>88</v>
      </c>
      <c r="G117" t="s">
        <v>115</v>
      </c>
      <c r="H117" t="s">
        <v>60</v>
      </c>
      <c r="I117" t="s">
        <v>115</v>
      </c>
      <c r="J117" t="s">
        <v>63</v>
      </c>
      <c r="K117" t="s">
        <v>45</v>
      </c>
      <c r="L117">
        <v>27479</v>
      </c>
      <c r="M117">
        <v>42</v>
      </c>
      <c r="N117">
        <v>5</v>
      </c>
      <c r="O117">
        <v>414.44</v>
      </c>
      <c r="P117">
        <v>50.996000000000002</v>
      </c>
      <c r="Q117">
        <v>20</v>
      </c>
      <c r="R117">
        <v>2</v>
      </c>
      <c r="S117" t="s">
        <v>116</v>
      </c>
      <c r="T117">
        <v>2</v>
      </c>
      <c r="U117">
        <v>3</v>
      </c>
      <c r="V117">
        <v>0</v>
      </c>
      <c r="W117">
        <v>0</v>
      </c>
      <c r="X117">
        <v>0</v>
      </c>
      <c r="Y117" s="20">
        <f>SUM(Table1[[#This Row],[dty_type_cnt1]:[dty_type_cnt5]])</f>
        <v>5</v>
      </c>
    </row>
    <row r="118" spans="1:25" x14ac:dyDescent="0.25">
      <c r="A118" s="15">
        <v>46103</v>
      </c>
      <c r="B118" t="s">
        <v>430</v>
      </c>
      <c r="C118" t="s">
        <v>114</v>
      </c>
      <c r="D118" t="s">
        <v>54</v>
      </c>
      <c r="E118" t="s">
        <v>89</v>
      </c>
      <c r="F118" t="s">
        <v>90</v>
      </c>
      <c r="G118" t="s">
        <v>115</v>
      </c>
      <c r="H118" t="s">
        <v>60</v>
      </c>
      <c r="I118" t="s">
        <v>115</v>
      </c>
      <c r="J118" t="s">
        <v>0</v>
      </c>
      <c r="K118" t="s">
        <v>45</v>
      </c>
      <c r="L118">
        <v>27479</v>
      </c>
      <c r="M118">
        <v>64</v>
      </c>
      <c r="N118">
        <v>10</v>
      </c>
      <c r="O118">
        <v>1654.0530000000001</v>
      </c>
      <c r="P118">
        <v>110.895</v>
      </c>
      <c r="Q118">
        <v>34</v>
      </c>
      <c r="R118">
        <v>5</v>
      </c>
      <c r="S118" t="s">
        <v>116</v>
      </c>
      <c r="T118">
        <v>6</v>
      </c>
      <c r="U118">
        <v>3</v>
      </c>
      <c r="V118">
        <v>3</v>
      </c>
      <c r="W118">
        <v>0</v>
      </c>
      <c r="X118">
        <v>0</v>
      </c>
      <c r="Y118" s="20">
        <f>SUM(Table1[[#This Row],[dty_type_cnt1]:[dty_type_cnt5]])</f>
        <v>12</v>
      </c>
    </row>
    <row r="119" spans="1:25" x14ac:dyDescent="0.25">
      <c r="A119" s="15">
        <v>46103</v>
      </c>
      <c r="B119" t="s">
        <v>430</v>
      </c>
      <c r="C119" t="s">
        <v>114</v>
      </c>
      <c r="D119" t="s">
        <v>54</v>
      </c>
      <c r="E119" t="s">
        <v>91</v>
      </c>
      <c r="F119" t="s">
        <v>126</v>
      </c>
      <c r="G119" t="s">
        <v>115</v>
      </c>
      <c r="H119" t="s">
        <v>60</v>
      </c>
      <c r="I119" t="s">
        <v>115</v>
      </c>
      <c r="J119" t="s">
        <v>76</v>
      </c>
      <c r="K119" t="s">
        <v>45</v>
      </c>
      <c r="L119">
        <v>27479</v>
      </c>
      <c r="M119">
        <v>110</v>
      </c>
      <c r="N119">
        <v>9</v>
      </c>
      <c r="O119">
        <v>545.64400000000001</v>
      </c>
      <c r="P119">
        <v>231</v>
      </c>
      <c r="Q119">
        <v>15</v>
      </c>
      <c r="R119">
        <v>4</v>
      </c>
      <c r="S119" t="s">
        <v>116</v>
      </c>
      <c r="T119">
        <v>3</v>
      </c>
      <c r="U119">
        <v>4</v>
      </c>
      <c r="V119">
        <v>1</v>
      </c>
      <c r="W119">
        <v>0</v>
      </c>
      <c r="X119">
        <v>0</v>
      </c>
      <c r="Y119" s="20">
        <f>SUM(Table1[[#This Row],[dty_type_cnt1]:[dty_type_cnt5]])</f>
        <v>8</v>
      </c>
    </row>
    <row r="120" spans="1:25" x14ac:dyDescent="0.25">
      <c r="A120" s="15">
        <v>46103</v>
      </c>
      <c r="B120" t="s">
        <v>430</v>
      </c>
      <c r="C120" t="s">
        <v>114</v>
      </c>
      <c r="D120" t="s">
        <v>54</v>
      </c>
      <c r="E120" t="s">
        <v>94</v>
      </c>
      <c r="F120" t="s">
        <v>127</v>
      </c>
      <c r="G120" t="s">
        <v>115</v>
      </c>
      <c r="H120" t="s">
        <v>60</v>
      </c>
      <c r="I120" t="s">
        <v>115</v>
      </c>
      <c r="J120" t="s">
        <v>76</v>
      </c>
      <c r="K120" t="s">
        <v>45</v>
      </c>
      <c r="L120">
        <v>27479</v>
      </c>
      <c r="M120">
        <v>109</v>
      </c>
      <c r="N120">
        <v>7</v>
      </c>
      <c r="O120">
        <v>598.875</v>
      </c>
      <c r="P120">
        <v>170.4</v>
      </c>
      <c r="Q120">
        <v>20</v>
      </c>
      <c r="R120">
        <v>4</v>
      </c>
      <c r="S120" t="s">
        <v>116</v>
      </c>
      <c r="T120">
        <v>3</v>
      </c>
      <c r="U120">
        <v>3</v>
      </c>
      <c r="V120">
        <v>2</v>
      </c>
      <c r="W120">
        <v>0</v>
      </c>
      <c r="X120">
        <v>0</v>
      </c>
      <c r="Y120" s="20">
        <f>SUM(Table1[[#This Row],[dty_type_cnt1]:[dty_type_cnt5]])</f>
        <v>8</v>
      </c>
    </row>
    <row r="121" spans="1:25" x14ac:dyDescent="0.25">
      <c r="A121" s="15">
        <v>46103</v>
      </c>
      <c r="B121" t="s">
        <v>430</v>
      </c>
      <c r="C121" t="s">
        <v>114</v>
      </c>
      <c r="D121" t="s">
        <v>54</v>
      </c>
      <c r="E121" t="s">
        <v>128</v>
      </c>
      <c r="F121" t="s">
        <v>129</v>
      </c>
      <c r="G121" t="s">
        <v>115</v>
      </c>
      <c r="H121" t="s">
        <v>60</v>
      </c>
      <c r="I121" t="s">
        <v>115</v>
      </c>
      <c r="J121" t="s">
        <v>0</v>
      </c>
      <c r="K121" t="s">
        <v>45</v>
      </c>
      <c r="L121">
        <v>27479</v>
      </c>
      <c r="M121">
        <v>64</v>
      </c>
      <c r="N121">
        <v>12</v>
      </c>
      <c r="O121">
        <v>1152</v>
      </c>
      <c r="P121">
        <v>216</v>
      </c>
      <c r="Q121">
        <v>30</v>
      </c>
      <c r="R121">
        <v>6</v>
      </c>
      <c r="S121" t="s">
        <v>116</v>
      </c>
      <c r="T121">
        <v>5</v>
      </c>
      <c r="U121">
        <v>6</v>
      </c>
      <c r="V121">
        <v>0</v>
      </c>
      <c r="W121">
        <v>0</v>
      </c>
      <c r="X121">
        <v>0</v>
      </c>
      <c r="Y121" s="20">
        <f>SUM(Table1[[#This Row],[dty_type_cnt1]:[dty_type_cnt5]])</f>
        <v>11</v>
      </c>
    </row>
    <row r="122" spans="1:25" x14ac:dyDescent="0.25">
      <c r="A122" s="15">
        <v>46103</v>
      </c>
      <c r="B122" t="s">
        <v>430</v>
      </c>
      <c r="C122" t="s">
        <v>114</v>
      </c>
      <c r="D122" t="s">
        <v>54</v>
      </c>
      <c r="E122" t="s">
        <v>130</v>
      </c>
      <c r="F122" t="s">
        <v>131</v>
      </c>
      <c r="G122" t="s">
        <v>115</v>
      </c>
      <c r="H122" t="s">
        <v>60</v>
      </c>
      <c r="I122" t="s">
        <v>115</v>
      </c>
      <c r="J122" t="s">
        <v>63</v>
      </c>
      <c r="K122" t="s">
        <v>45</v>
      </c>
      <c r="L122">
        <v>27479</v>
      </c>
      <c r="M122">
        <v>65</v>
      </c>
      <c r="N122">
        <v>6</v>
      </c>
      <c r="O122">
        <v>668.99900000000002</v>
      </c>
      <c r="P122">
        <v>94.4</v>
      </c>
      <c r="Q122">
        <v>30</v>
      </c>
      <c r="R122">
        <v>3</v>
      </c>
      <c r="S122" t="s">
        <v>116</v>
      </c>
      <c r="T122">
        <v>3</v>
      </c>
      <c r="U122">
        <v>2</v>
      </c>
      <c r="V122">
        <v>1</v>
      </c>
      <c r="W122">
        <v>0</v>
      </c>
      <c r="X122">
        <v>0</v>
      </c>
      <c r="Y122" s="20">
        <f>SUM(Table1[[#This Row],[dty_type_cnt1]:[dty_type_cnt5]])</f>
        <v>6</v>
      </c>
    </row>
    <row r="123" spans="1:25" x14ac:dyDescent="0.25">
      <c r="A123" s="15">
        <v>46103</v>
      </c>
      <c r="B123" t="s">
        <v>430</v>
      </c>
      <c r="C123" t="s">
        <v>114</v>
      </c>
      <c r="D123" t="s">
        <v>54</v>
      </c>
      <c r="E123" t="s">
        <v>95</v>
      </c>
      <c r="F123" t="s">
        <v>96</v>
      </c>
      <c r="G123" t="s">
        <v>115</v>
      </c>
      <c r="H123" t="s">
        <v>60</v>
      </c>
      <c r="I123" t="s">
        <v>115</v>
      </c>
      <c r="J123" t="s">
        <v>0</v>
      </c>
      <c r="K123" t="s">
        <v>45</v>
      </c>
      <c r="L123">
        <v>27479</v>
      </c>
      <c r="M123">
        <v>33</v>
      </c>
      <c r="N123">
        <v>3</v>
      </c>
      <c r="O123">
        <v>550.78499999999997</v>
      </c>
      <c r="P123">
        <v>22.6</v>
      </c>
      <c r="Q123">
        <v>30</v>
      </c>
      <c r="R123">
        <v>1</v>
      </c>
      <c r="S123" t="s">
        <v>116</v>
      </c>
      <c r="T123">
        <v>1</v>
      </c>
      <c r="U123">
        <v>0</v>
      </c>
      <c r="V123">
        <v>1</v>
      </c>
      <c r="W123">
        <v>0</v>
      </c>
      <c r="X123">
        <v>0</v>
      </c>
      <c r="Y123" s="20">
        <f>SUM(Table1[[#This Row],[dty_type_cnt1]:[dty_type_cnt5]])</f>
        <v>2</v>
      </c>
    </row>
    <row r="124" spans="1:25" x14ac:dyDescent="0.25">
      <c r="A124" s="15">
        <v>46103</v>
      </c>
      <c r="B124" t="s">
        <v>430</v>
      </c>
      <c r="C124" t="s">
        <v>114</v>
      </c>
      <c r="D124" t="s">
        <v>54</v>
      </c>
      <c r="E124" t="s">
        <v>97</v>
      </c>
      <c r="F124" t="s">
        <v>98</v>
      </c>
      <c r="G124" t="s">
        <v>115</v>
      </c>
      <c r="H124" t="s">
        <v>60</v>
      </c>
      <c r="I124" t="s">
        <v>115</v>
      </c>
      <c r="J124" t="s">
        <v>0</v>
      </c>
      <c r="K124" t="s">
        <v>45</v>
      </c>
      <c r="L124">
        <v>27479</v>
      </c>
      <c r="M124">
        <v>33</v>
      </c>
      <c r="N124">
        <v>5</v>
      </c>
      <c r="O124">
        <v>859.452</v>
      </c>
      <c r="P124">
        <v>53.6</v>
      </c>
      <c r="Q124">
        <v>30</v>
      </c>
      <c r="R124">
        <v>3</v>
      </c>
      <c r="S124" t="s">
        <v>116</v>
      </c>
      <c r="T124">
        <v>2</v>
      </c>
      <c r="U124">
        <v>2</v>
      </c>
      <c r="V124">
        <v>0</v>
      </c>
      <c r="W124">
        <v>0</v>
      </c>
      <c r="X124">
        <v>0</v>
      </c>
      <c r="Y124" s="20">
        <f>SUM(Table1[[#This Row],[dty_type_cnt1]:[dty_type_cnt5]])</f>
        <v>4</v>
      </c>
    </row>
    <row r="125" spans="1:25" x14ac:dyDescent="0.25">
      <c r="A125" s="15">
        <v>46103</v>
      </c>
      <c r="B125" t="s">
        <v>430</v>
      </c>
      <c r="C125" t="s">
        <v>114</v>
      </c>
      <c r="D125" t="s">
        <v>54</v>
      </c>
      <c r="E125" t="s">
        <v>109</v>
      </c>
      <c r="F125" t="s">
        <v>151</v>
      </c>
      <c r="G125" t="s">
        <v>115</v>
      </c>
      <c r="H125" t="s">
        <v>60</v>
      </c>
      <c r="I125" t="s">
        <v>115</v>
      </c>
      <c r="J125" t="s">
        <v>0</v>
      </c>
      <c r="K125" t="s">
        <v>45</v>
      </c>
      <c r="L125">
        <v>27479</v>
      </c>
      <c r="M125">
        <v>66</v>
      </c>
      <c r="N125">
        <v>10</v>
      </c>
      <c r="O125">
        <v>1194.4680000000001</v>
      </c>
      <c r="P125">
        <v>178</v>
      </c>
      <c r="Q125">
        <v>30</v>
      </c>
      <c r="R125">
        <v>5</v>
      </c>
      <c r="S125" t="s">
        <v>116</v>
      </c>
      <c r="T125">
        <v>5</v>
      </c>
      <c r="U125">
        <v>3</v>
      </c>
      <c r="V125">
        <v>2</v>
      </c>
      <c r="W125">
        <v>0</v>
      </c>
      <c r="X125">
        <v>0</v>
      </c>
      <c r="Y125" s="20">
        <f>SUM(Table1[[#This Row],[dty_type_cnt1]:[dty_type_cnt5]])</f>
        <v>10</v>
      </c>
    </row>
    <row r="126" spans="1:25" x14ac:dyDescent="0.25">
      <c r="A126" s="15">
        <v>46103</v>
      </c>
      <c r="B126" t="s">
        <v>430</v>
      </c>
      <c r="C126" t="s">
        <v>114</v>
      </c>
      <c r="D126" t="s">
        <v>54</v>
      </c>
      <c r="E126" t="s">
        <v>132</v>
      </c>
      <c r="F126" t="s">
        <v>133</v>
      </c>
      <c r="G126" t="s">
        <v>115</v>
      </c>
      <c r="H126" t="s">
        <v>60</v>
      </c>
      <c r="I126" t="s">
        <v>115</v>
      </c>
      <c r="J126" t="s">
        <v>0</v>
      </c>
      <c r="K126" t="s">
        <v>45</v>
      </c>
      <c r="L126">
        <v>27479</v>
      </c>
      <c r="M126">
        <v>13</v>
      </c>
      <c r="N126">
        <v>2</v>
      </c>
      <c r="O126">
        <v>86.593000000000004</v>
      </c>
      <c r="P126">
        <v>50</v>
      </c>
      <c r="Q126">
        <v>30</v>
      </c>
      <c r="R126">
        <v>1</v>
      </c>
      <c r="S126" t="s">
        <v>116</v>
      </c>
      <c r="T126">
        <v>1</v>
      </c>
      <c r="U126">
        <v>0</v>
      </c>
      <c r="V126">
        <v>1</v>
      </c>
      <c r="W126">
        <v>0</v>
      </c>
      <c r="X126">
        <v>0</v>
      </c>
      <c r="Y126" s="20">
        <f>SUM(Table1[[#This Row],[dty_type_cnt1]:[dty_type_cnt5]])</f>
        <v>2</v>
      </c>
    </row>
    <row r="127" spans="1:25" x14ac:dyDescent="0.25">
      <c r="A127" s="15">
        <v>46103</v>
      </c>
      <c r="B127" t="s">
        <v>430</v>
      </c>
      <c r="C127" t="s">
        <v>114</v>
      </c>
      <c r="D127" t="s">
        <v>54</v>
      </c>
      <c r="E127" t="s">
        <v>99</v>
      </c>
      <c r="F127" t="s">
        <v>100</v>
      </c>
      <c r="G127" t="s">
        <v>115</v>
      </c>
      <c r="H127" t="s">
        <v>60</v>
      </c>
      <c r="I127" t="s">
        <v>115</v>
      </c>
      <c r="J127" t="s">
        <v>63</v>
      </c>
      <c r="K127" t="s">
        <v>45</v>
      </c>
      <c r="L127">
        <v>27479</v>
      </c>
      <c r="M127">
        <v>26</v>
      </c>
      <c r="N127">
        <v>6</v>
      </c>
      <c r="O127">
        <v>356.87599999999998</v>
      </c>
      <c r="P127">
        <v>157.80000000000001</v>
      </c>
      <c r="Q127">
        <v>18</v>
      </c>
      <c r="R127">
        <v>3</v>
      </c>
      <c r="S127" t="s">
        <v>116</v>
      </c>
      <c r="T127">
        <v>2</v>
      </c>
      <c r="U127">
        <v>3</v>
      </c>
      <c r="V127">
        <v>0</v>
      </c>
      <c r="W127">
        <v>0</v>
      </c>
      <c r="X127">
        <v>0</v>
      </c>
      <c r="Y127" s="20">
        <f>SUM(Table1[[#This Row],[dty_type_cnt1]:[dty_type_cnt5]])</f>
        <v>5</v>
      </c>
    </row>
    <row r="128" spans="1:25" x14ac:dyDescent="0.25">
      <c r="A128" s="15">
        <v>46103</v>
      </c>
      <c r="B128" t="s">
        <v>430</v>
      </c>
      <c r="C128" t="s">
        <v>114</v>
      </c>
      <c r="D128" t="s">
        <v>49</v>
      </c>
      <c r="E128" t="s">
        <v>104</v>
      </c>
      <c r="F128" t="s">
        <v>134</v>
      </c>
      <c r="G128" t="s">
        <v>115</v>
      </c>
      <c r="H128" t="s">
        <v>60</v>
      </c>
      <c r="I128" t="s">
        <v>115</v>
      </c>
      <c r="J128" t="s">
        <v>0</v>
      </c>
      <c r="K128" t="s">
        <v>45</v>
      </c>
      <c r="L128">
        <v>27479</v>
      </c>
      <c r="M128">
        <v>42</v>
      </c>
      <c r="N128">
        <v>10</v>
      </c>
      <c r="O128">
        <v>1302.5840000000001</v>
      </c>
      <c r="P128">
        <v>171.2</v>
      </c>
      <c r="Q128">
        <v>25</v>
      </c>
      <c r="R128">
        <v>5</v>
      </c>
      <c r="S128" t="s">
        <v>116</v>
      </c>
      <c r="T128">
        <v>5</v>
      </c>
      <c r="U128">
        <v>4</v>
      </c>
      <c r="V128">
        <v>1</v>
      </c>
      <c r="W128">
        <v>0</v>
      </c>
      <c r="X128">
        <v>0</v>
      </c>
      <c r="Y128" s="20">
        <f>SUM(Table1[[#This Row],[dty_type_cnt1]:[dty_type_cnt5]])</f>
        <v>10</v>
      </c>
    </row>
    <row r="129" spans="1:25" x14ac:dyDescent="0.25">
      <c r="A129" s="15">
        <v>46103</v>
      </c>
      <c r="B129" t="s">
        <v>430</v>
      </c>
      <c r="C129" t="s">
        <v>114</v>
      </c>
      <c r="D129" t="s">
        <v>49</v>
      </c>
      <c r="E129" t="s">
        <v>105</v>
      </c>
      <c r="F129" t="s">
        <v>152</v>
      </c>
      <c r="G129" t="s">
        <v>115</v>
      </c>
      <c r="H129" t="s">
        <v>60</v>
      </c>
      <c r="I129" t="s">
        <v>115</v>
      </c>
      <c r="J129" t="s">
        <v>76</v>
      </c>
      <c r="K129" t="s">
        <v>45</v>
      </c>
      <c r="L129">
        <v>27479</v>
      </c>
      <c r="M129">
        <v>46</v>
      </c>
      <c r="N129">
        <v>10</v>
      </c>
      <c r="O129">
        <v>1421.5360000000001</v>
      </c>
      <c r="P129">
        <v>146.30000000000001</v>
      </c>
      <c r="Q129">
        <v>30</v>
      </c>
      <c r="R129">
        <v>5</v>
      </c>
      <c r="S129" t="s">
        <v>116</v>
      </c>
      <c r="T129">
        <v>5</v>
      </c>
      <c r="U129">
        <v>5</v>
      </c>
      <c r="V129">
        <v>0</v>
      </c>
      <c r="W129">
        <v>0</v>
      </c>
      <c r="X129">
        <v>0</v>
      </c>
      <c r="Y129" s="20">
        <f>SUM(Table1[[#This Row],[dty_type_cnt1]:[dty_type_cnt5]])</f>
        <v>10</v>
      </c>
    </row>
    <row r="130" spans="1:25" x14ac:dyDescent="0.25">
      <c r="A130" s="15">
        <v>46103</v>
      </c>
      <c r="B130" t="s">
        <v>430</v>
      </c>
      <c r="C130" t="s">
        <v>114</v>
      </c>
      <c r="D130" t="s">
        <v>49</v>
      </c>
      <c r="E130" t="s">
        <v>106</v>
      </c>
      <c r="F130" t="s">
        <v>107</v>
      </c>
      <c r="G130" t="s">
        <v>115</v>
      </c>
      <c r="H130" t="s">
        <v>60</v>
      </c>
      <c r="I130" t="s">
        <v>115</v>
      </c>
      <c r="J130" t="s">
        <v>0</v>
      </c>
      <c r="K130" t="s">
        <v>45</v>
      </c>
      <c r="L130">
        <v>27479</v>
      </c>
      <c r="M130">
        <v>28</v>
      </c>
      <c r="N130">
        <v>12</v>
      </c>
      <c r="O130">
        <v>814.89800000000002</v>
      </c>
      <c r="P130">
        <v>286</v>
      </c>
      <c r="Q130">
        <v>30</v>
      </c>
      <c r="R130">
        <v>5</v>
      </c>
      <c r="S130" t="s">
        <v>116</v>
      </c>
      <c r="T130">
        <v>0</v>
      </c>
      <c r="U130">
        <v>6</v>
      </c>
      <c r="V130">
        <v>1</v>
      </c>
      <c r="W130">
        <v>0</v>
      </c>
      <c r="X130">
        <v>0</v>
      </c>
      <c r="Y130" s="20">
        <f>SUM(Table1[[#This Row],[dty_type_cnt1]:[dty_type_cnt5]])</f>
        <v>7</v>
      </c>
    </row>
    <row r="131" spans="1:25" x14ac:dyDescent="0.25">
      <c r="A131" s="15">
        <v>46104</v>
      </c>
      <c r="B131" t="s">
        <v>430</v>
      </c>
      <c r="C131" t="s">
        <v>114</v>
      </c>
      <c r="D131" t="s">
        <v>46</v>
      </c>
      <c r="E131">
        <v>8</v>
      </c>
      <c r="F131" t="s">
        <v>61</v>
      </c>
      <c r="G131" t="s">
        <v>115</v>
      </c>
      <c r="H131" t="s">
        <v>60</v>
      </c>
      <c r="I131" t="s">
        <v>115</v>
      </c>
      <c r="J131" t="s">
        <v>0</v>
      </c>
      <c r="K131" t="s">
        <v>59</v>
      </c>
      <c r="L131">
        <v>27480</v>
      </c>
      <c r="M131">
        <v>51</v>
      </c>
      <c r="N131">
        <v>14</v>
      </c>
      <c r="O131">
        <v>1911.6659999999999</v>
      </c>
      <c r="P131">
        <v>409.9</v>
      </c>
      <c r="Q131">
        <v>25</v>
      </c>
      <c r="R131">
        <v>7</v>
      </c>
      <c r="S131" t="s">
        <v>116</v>
      </c>
      <c r="T131">
        <v>10</v>
      </c>
      <c r="U131">
        <v>3</v>
      </c>
      <c r="V131">
        <v>4</v>
      </c>
      <c r="W131">
        <v>0</v>
      </c>
      <c r="X131">
        <v>0</v>
      </c>
      <c r="Y131" s="20">
        <f>SUM(Table1[[#This Row],[dty_type_cnt1]:[dty_type_cnt5]])</f>
        <v>17</v>
      </c>
    </row>
    <row r="132" spans="1:25" x14ac:dyDescent="0.25">
      <c r="A132" s="15">
        <v>46104</v>
      </c>
      <c r="B132" t="s">
        <v>430</v>
      </c>
      <c r="C132" t="s">
        <v>114</v>
      </c>
      <c r="D132" t="s">
        <v>46</v>
      </c>
      <c r="E132">
        <v>11</v>
      </c>
      <c r="F132" t="s">
        <v>62</v>
      </c>
      <c r="G132" t="s">
        <v>115</v>
      </c>
      <c r="H132" t="s">
        <v>60</v>
      </c>
      <c r="I132" t="s">
        <v>115</v>
      </c>
      <c r="J132" t="s">
        <v>63</v>
      </c>
      <c r="K132" t="s">
        <v>59</v>
      </c>
      <c r="L132">
        <v>27480</v>
      </c>
      <c r="M132">
        <v>65</v>
      </c>
      <c r="N132">
        <v>12</v>
      </c>
      <c r="O132">
        <v>1763.7439999999999</v>
      </c>
      <c r="P132">
        <v>101.2</v>
      </c>
      <c r="Q132">
        <v>25</v>
      </c>
      <c r="R132">
        <v>4</v>
      </c>
      <c r="S132" t="s">
        <v>116</v>
      </c>
      <c r="T132">
        <v>5</v>
      </c>
      <c r="U132">
        <v>4</v>
      </c>
      <c r="V132">
        <v>1</v>
      </c>
      <c r="W132">
        <v>0</v>
      </c>
      <c r="X132">
        <v>0</v>
      </c>
      <c r="Y132" s="20">
        <f>SUM(Table1[[#This Row],[dty_type_cnt1]:[dty_type_cnt5]])</f>
        <v>10</v>
      </c>
    </row>
    <row r="133" spans="1:25" x14ac:dyDescent="0.25">
      <c r="A133" s="15">
        <v>46104</v>
      </c>
      <c r="B133" t="s">
        <v>430</v>
      </c>
      <c r="C133" t="s">
        <v>114</v>
      </c>
      <c r="D133" t="s">
        <v>46</v>
      </c>
      <c r="E133" t="s">
        <v>64</v>
      </c>
      <c r="F133" t="s">
        <v>65</v>
      </c>
      <c r="G133" t="s">
        <v>115</v>
      </c>
      <c r="H133" t="s">
        <v>60</v>
      </c>
      <c r="I133" t="s">
        <v>115</v>
      </c>
      <c r="J133" t="s">
        <v>47</v>
      </c>
      <c r="K133" t="s">
        <v>59</v>
      </c>
      <c r="L133">
        <v>27480</v>
      </c>
      <c r="M133">
        <v>129</v>
      </c>
      <c r="N133">
        <v>34</v>
      </c>
      <c r="O133">
        <v>2206.1379999999999</v>
      </c>
      <c r="P133">
        <v>707.3</v>
      </c>
      <c r="Q133">
        <v>15</v>
      </c>
      <c r="R133">
        <v>15</v>
      </c>
      <c r="S133" t="s">
        <v>116</v>
      </c>
      <c r="T133">
        <v>12</v>
      </c>
      <c r="U133">
        <v>15</v>
      </c>
      <c r="V133">
        <v>0</v>
      </c>
      <c r="W133">
        <v>0</v>
      </c>
      <c r="X133">
        <v>0</v>
      </c>
      <c r="Y133" s="20">
        <f>SUM(Table1[[#This Row],[dty_type_cnt1]:[dty_type_cnt5]])</f>
        <v>27</v>
      </c>
    </row>
    <row r="134" spans="1:25" x14ac:dyDescent="0.25">
      <c r="A134" s="15">
        <v>46104</v>
      </c>
      <c r="B134" t="s">
        <v>430</v>
      </c>
      <c r="C134" t="s">
        <v>114</v>
      </c>
      <c r="D134" t="s">
        <v>46</v>
      </c>
      <c r="E134">
        <v>16</v>
      </c>
      <c r="F134" t="s">
        <v>110</v>
      </c>
      <c r="G134" t="s">
        <v>115</v>
      </c>
      <c r="H134" t="s">
        <v>60</v>
      </c>
      <c r="I134" t="s">
        <v>115</v>
      </c>
      <c r="J134" t="s">
        <v>63</v>
      </c>
      <c r="K134" t="s">
        <v>59</v>
      </c>
      <c r="L134">
        <v>27480</v>
      </c>
      <c r="M134">
        <v>35</v>
      </c>
      <c r="N134">
        <v>8</v>
      </c>
      <c r="O134">
        <v>1072.6569999999999</v>
      </c>
      <c r="P134">
        <v>110.1</v>
      </c>
      <c r="Q134">
        <v>70</v>
      </c>
      <c r="R134">
        <v>3</v>
      </c>
      <c r="S134" t="s">
        <v>116</v>
      </c>
      <c r="T134">
        <v>5</v>
      </c>
      <c r="U134">
        <v>1</v>
      </c>
      <c r="V134">
        <v>2</v>
      </c>
      <c r="W134">
        <v>0</v>
      </c>
      <c r="X134">
        <v>0</v>
      </c>
      <c r="Y134" s="20">
        <f>SUM(Table1[[#This Row],[dty_type_cnt1]:[dty_type_cnt5]])</f>
        <v>8</v>
      </c>
    </row>
    <row r="135" spans="1:25" x14ac:dyDescent="0.25">
      <c r="A135" s="15">
        <v>46104</v>
      </c>
      <c r="B135" t="s">
        <v>430</v>
      </c>
      <c r="C135" t="s">
        <v>114</v>
      </c>
      <c r="D135" t="s">
        <v>46</v>
      </c>
      <c r="E135">
        <v>17</v>
      </c>
      <c r="F135" t="s">
        <v>144</v>
      </c>
      <c r="G135" t="s">
        <v>115</v>
      </c>
      <c r="H135" t="s">
        <v>60</v>
      </c>
      <c r="I135" t="s">
        <v>115</v>
      </c>
      <c r="J135" t="s">
        <v>63</v>
      </c>
      <c r="K135" t="s">
        <v>59</v>
      </c>
      <c r="L135">
        <v>27480</v>
      </c>
      <c r="M135">
        <v>80</v>
      </c>
      <c r="N135">
        <v>26</v>
      </c>
      <c r="O135">
        <v>1966.3510000000001</v>
      </c>
      <c r="P135">
        <v>590</v>
      </c>
      <c r="Q135">
        <v>20</v>
      </c>
      <c r="R135">
        <v>12</v>
      </c>
      <c r="S135" t="s">
        <v>116</v>
      </c>
      <c r="T135">
        <v>11</v>
      </c>
      <c r="U135">
        <v>11</v>
      </c>
      <c r="V135">
        <v>1</v>
      </c>
      <c r="W135">
        <v>0</v>
      </c>
      <c r="X135">
        <v>0</v>
      </c>
      <c r="Y135" s="20">
        <f>SUM(Table1[[#This Row],[dty_type_cnt1]:[dty_type_cnt5]])</f>
        <v>23</v>
      </c>
    </row>
    <row r="136" spans="1:25" x14ac:dyDescent="0.25">
      <c r="A136" s="15">
        <v>46104</v>
      </c>
      <c r="B136" t="s">
        <v>430</v>
      </c>
      <c r="C136" t="s">
        <v>114</v>
      </c>
      <c r="D136" t="s">
        <v>46</v>
      </c>
      <c r="E136" t="s">
        <v>66</v>
      </c>
      <c r="F136" t="s">
        <v>67</v>
      </c>
      <c r="G136" t="s">
        <v>115</v>
      </c>
      <c r="H136" t="s">
        <v>60</v>
      </c>
      <c r="I136" t="s">
        <v>115</v>
      </c>
      <c r="J136" t="s">
        <v>0</v>
      </c>
      <c r="K136" t="s">
        <v>59</v>
      </c>
      <c r="L136">
        <v>27480</v>
      </c>
      <c r="M136">
        <v>21</v>
      </c>
      <c r="N136">
        <v>10</v>
      </c>
      <c r="O136">
        <v>969.18200000000002</v>
      </c>
      <c r="P136">
        <v>28.6</v>
      </c>
      <c r="Q136">
        <v>0</v>
      </c>
      <c r="R136">
        <v>1</v>
      </c>
      <c r="S136" t="s">
        <v>116</v>
      </c>
      <c r="T136">
        <v>5</v>
      </c>
      <c r="U136">
        <v>4</v>
      </c>
      <c r="V136">
        <v>1</v>
      </c>
      <c r="W136">
        <v>0</v>
      </c>
      <c r="X136">
        <v>0</v>
      </c>
      <c r="Y136" s="20">
        <f>SUM(Table1[[#This Row],[dty_type_cnt1]:[dty_type_cnt5]])</f>
        <v>10</v>
      </c>
    </row>
    <row r="137" spans="1:25" x14ac:dyDescent="0.25">
      <c r="A137" s="15">
        <v>46104</v>
      </c>
      <c r="B137" t="s">
        <v>430</v>
      </c>
      <c r="C137" t="s">
        <v>114</v>
      </c>
      <c r="D137" t="s">
        <v>46</v>
      </c>
      <c r="E137" t="s">
        <v>68</v>
      </c>
      <c r="F137" t="s">
        <v>69</v>
      </c>
      <c r="G137" t="s">
        <v>115</v>
      </c>
      <c r="H137" t="s">
        <v>60</v>
      </c>
      <c r="I137" t="s">
        <v>115</v>
      </c>
      <c r="J137" t="s">
        <v>0</v>
      </c>
      <c r="K137" t="s">
        <v>59</v>
      </c>
      <c r="L137">
        <v>27480</v>
      </c>
      <c r="M137">
        <v>21</v>
      </c>
      <c r="N137">
        <v>10</v>
      </c>
      <c r="O137">
        <v>964.36400000000003</v>
      </c>
      <c r="P137">
        <v>51.7</v>
      </c>
      <c r="Q137">
        <v>30</v>
      </c>
      <c r="R137">
        <v>4</v>
      </c>
      <c r="S137" t="s">
        <v>116</v>
      </c>
      <c r="T137">
        <v>0</v>
      </c>
      <c r="U137">
        <v>1</v>
      </c>
      <c r="V137">
        <v>1</v>
      </c>
      <c r="W137">
        <v>0</v>
      </c>
      <c r="X137">
        <v>0</v>
      </c>
      <c r="Y137" s="20">
        <f>SUM(Table1[[#This Row],[dty_type_cnt1]:[dty_type_cnt5]])</f>
        <v>2</v>
      </c>
    </row>
    <row r="138" spans="1:25" x14ac:dyDescent="0.25">
      <c r="A138" s="15">
        <v>46104</v>
      </c>
      <c r="B138" t="s">
        <v>430</v>
      </c>
      <c r="C138" t="s">
        <v>114</v>
      </c>
      <c r="D138" t="s">
        <v>46</v>
      </c>
      <c r="E138">
        <v>22</v>
      </c>
      <c r="F138" t="s">
        <v>70</v>
      </c>
      <c r="G138" t="s">
        <v>115</v>
      </c>
      <c r="H138" t="s">
        <v>60</v>
      </c>
      <c r="I138" t="s">
        <v>115</v>
      </c>
      <c r="J138" t="s">
        <v>0</v>
      </c>
      <c r="K138" t="s">
        <v>59</v>
      </c>
      <c r="L138">
        <v>27480</v>
      </c>
      <c r="M138">
        <v>50</v>
      </c>
      <c r="N138">
        <v>10</v>
      </c>
      <c r="O138">
        <v>757.80799999999999</v>
      </c>
      <c r="P138">
        <v>209.79</v>
      </c>
      <c r="Q138">
        <v>20</v>
      </c>
      <c r="R138">
        <v>4</v>
      </c>
      <c r="S138" t="s">
        <v>116</v>
      </c>
      <c r="T138">
        <v>4</v>
      </c>
      <c r="U138">
        <v>4</v>
      </c>
      <c r="V138">
        <v>0</v>
      </c>
      <c r="W138">
        <v>0</v>
      </c>
      <c r="X138">
        <v>0</v>
      </c>
      <c r="Y138" s="20">
        <f>SUM(Table1[[#This Row],[dty_type_cnt1]:[dty_type_cnt5]])</f>
        <v>8</v>
      </c>
    </row>
    <row r="139" spans="1:25" x14ac:dyDescent="0.25">
      <c r="A139" s="15">
        <v>46104</v>
      </c>
      <c r="B139" t="s">
        <v>430</v>
      </c>
      <c r="C139" t="s">
        <v>114</v>
      </c>
      <c r="D139" t="s">
        <v>46</v>
      </c>
      <c r="E139">
        <v>24</v>
      </c>
      <c r="F139" t="s">
        <v>71</v>
      </c>
      <c r="G139" t="s">
        <v>115</v>
      </c>
      <c r="H139" t="s">
        <v>60</v>
      </c>
      <c r="I139" t="s">
        <v>115</v>
      </c>
      <c r="J139" t="s">
        <v>47</v>
      </c>
      <c r="K139" t="s">
        <v>59</v>
      </c>
      <c r="L139">
        <v>27480</v>
      </c>
      <c r="M139">
        <v>121</v>
      </c>
      <c r="N139">
        <v>42</v>
      </c>
      <c r="O139">
        <v>2221.223</v>
      </c>
      <c r="P139">
        <v>822.85</v>
      </c>
      <c r="Q139">
        <v>12</v>
      </c>
      <c r="R139">
        <v>15</v>
      </c>
      <c r="S139" t="s">
        <v>116</v>
      </c>
      <c r="T139">
        <v>12</v>
      </c>
      <c r="U139">
        <v>15</v>
      </c>
      <c r="V139">
        <v>0</v>
      </c>
      <c r="W139">
        <v>0</v>
      </c>
      <c r="X139">
        <v>0</v>
      </c>
      <c r="Y139" s="20">
        <f>SUM(Table1[[#This Row],[dty_type_cnt1]:[dty_type_cnt5]])</f>
        <v>27</v>
      </c>
    </row>
    <row r="140" spans="1:25" x14ac:dyDescent="0.25">
      <c r="A140" s="15">
        <v>46104</v>
      </c>
      <c r="B140" t="s">
        <v>430</v>
      </c>
      <c r="C140" t="s">
        <v>114</v>
      </c>
      <c r="D140" t="s">
        <v>46</v>
      </c>
      <c r="E140">
        <v>31</v>
      </c>
      <c r="F140" t="s">
        <v>149</v>
      </c>
      <c r="G140" t="s">
        <v>115</v>
      </c>
      <c r="H140" t="s">
        <v>60</v>
      </c>
      <c r="I140" t="s">
        <v>115</v>
      </c>
      <c r="J140" t="s">
        <v>63</v>
      </c>
      <c r="K140" t="s">
        <v>59</v>
      </c>
      <c r="L140">
        <v>27480</v>
      </c>
      <c r="M140">
        <v>41</v>
      </c>
      <c r="N140">
        <v>10</v>
      </c>
      <c r="O140">
        <v>752.39099999999996</v>
      </c>
      <c r="P140">
        <v>83.5</v>
      </c>
      <c r="Q140">
        <v>20</v>
      </c>
      <c r="R140">
        <v>4</v>
      </c>
      <c r="S140" t="s">
        <v>116</v>
      </c>
      <c r="T140">
        <v>4</v>
      </c>
      <c r="U140">
        <v>4</v>
      </c>
      <c r="V140">
        <v>0</v>
      </c>
      <c r="W140">
        <v>0</v>
      </c>
      <c r="X140">
        <v>0</v>
      </c>
      <c r="Y140" s="20">
        <f>SUM(Table1[[#This Row],[dty_type_cnt1]:[dty_type_cnt5]])</f>
        <v>8</v>
      </c>
    </row>
    <row r="141" spans="1:25" x14ac:dyDescent="0.25">
      <c r="A141" s="15">
        <v>46104</v>
      </c>
      <c r="B141" t="s">
        <v>430</v>
      </c>
      <c r="C141" t="s">
        <v>114</v>
      </c>
      <c r="D141" t="s">
        <v>46</v>
      </c>
      <c r="E141">
        <v>310</v>
      </c>
      <c r="F141" t="s">
        <v>72</v>
      </c>
      <c r="G141" t="s">
        <v>115</v>
      </c>
      <c r="H141" t="s">
        <v>60</v>
      </c>
      <c r="I141" t="s">
        <v>115</v>
      </c>
      <c r="J141" t="s">
        <v>0</v>
      </c>
      <c r="K141" t="s">
        <v>59</v>
      </c>
      <c r="L141">
        <v>27480</v>
      </c>
      <c r="M141">
        <v>124</v>
      </c>
      <c r="N141">
        <v>42</v>
      </c>
      <c r="O141">
        <v>3586.8209999999999</v>
      </c>
      <c r="P141">
        <v>364.8</v>
      </c>
      <c r="Q141">
        <v>6</v>
      </c>
      <c r="R141">
        <v>13</v>
      </c>
      <c r="S141" t="s">
        <v>116</v>
      </c>
      <c r="T141">
        <v>13</v>
      </c>
      <c r="U141">
        <v>11</v>
      </c>
      <c r="V141">
        <v>2</v>
      </c>
      <c r="W141">
        <v>0</v>
      </c>
      <c r="X141">
        <v>0</v>
      </c>
      <c r="Y141" s="20">
        <f>SUM(Table1[[#This Row],[dty_type_cnt1]:[dty_type_cnt5]])</f>
        <v>26</v>
      </c>
    </row>
    <row r="142" spans="1:25" x14ac:dyDescent="0.25">
      <c r="A142" s="15">
        <v>46104</v>
      </c>
      <c r="B142" t="s">
        <v>430</v>
      </c>
      <c r="C142" t="s">
        <v>114</v>
      </c>
      <c r="D142" t="s">
        <v>46</v>
      </c>
      <c r="E142">
        <v>320</v>
      </c>
      <c r="F142" t="s">
        <v>73</v>
      </c>
      <c r="G142" t="s">
        <v>115</v>
      </c>
      <c r="H142" t="s">
        <v>60</v>
      </c>
      <c r="I142" t="s">
        <v>115</v>
      </c>
      <c r="J142" t="s">
        <v>0</v>
      </c>
      <c r="K142" t="s">
        <v>59</v>
      </c>
      <c r="L142">
        <v>27480</v>
      </c>
      <c r="M142">
        <v>159</v>
      </c>
      <c r="N142">
        <v>48</v>
      </c>
      <c r="O142">
        <v>5614.3739999999998</v>
      </c>
      <c r="P142">
        <v>470.1</v>
      </c>
      <c r="Q142">
        <v>12</v>
      </c>
      <c r="R142">
        <v>17</v>
      </c>
      <c r="S142" t="s">
        <v>116</v>
      </c>
      <c r="T142">
        <v>17</v>
      </c>
      <c r="U142">
        <v>16</v>
      </c>
      <c r="V142">
        <v>1</v>
      </c>
      <c r="W142">
        <v>0</v>
      </c>
      <c r="X142">
        <v>0</v>
      </c>
      <c r="Y142" s="20">
        <f>SUM(Table1[[#This Row],[dty_type_cnt1]:[dty_type_cnt5]])</f>
        <v>34</v>
      </c>
    </row>
    <row r="143" spans="1:25" x14ac:dyDescent="0.25">
      <c r="A143" s="15">
        <v>46104</v>
      </c>
      <c r="B143" t="s">
        <v>430</v>
      </c>
      <c r="C143" t="s">
        <v>114</v>
      </c>
      <c r="D143" t="s">
        <v>46</v>
      </c>
      <c r="E143" t="s">
        <v>137</v>
      </c>
      <c r="F143" t="s">
        <v>138</v>
      </c>
      <c r="G143" t="s">
        <v>115</v>
      </c>
      <c r="H143" t="s">
        <v>60</v>
      </c>
      <c r="I143" t="s">
        <v>115</v>
      </c>
      <c r="J143" t="s">
        <v>0</v>
      </c>
      <c r="K143" t="s">
        <v>59</v>
      </c>
      <c r="L143">
        <v>27480</v>
      </c>
      <c r="M143">
        <v>18</v>
      </c>
      <c r="N143">
        <v>4</v>
      </c>
      <c r="O143">
        <v>919.85400000000004</v>
      </c>
      <c r="P143">
        <v>54.4</v>
      </c>
      <c r="Q143">
        <v>0</v>
      </c>
      <c r="R143">
        <v>3</v>
      </c>
      <c r="S143" t="s">
        <v>116</v>
      </c>
      <c r="T143">
        <v>3</v>
      </c>
      <c r="U143">
        <v>3</v>
      </c>
      <c r="V143">
        <v>0</v>
      </c>
      <c r="W143">
        <v>0</v>
      </c>
      <c r="X143">
        <v>0</v>
      </c>
      <c r="Y143" s="20">
        <f>SUM(Table1[[#This Row],[dty_type_cnt1]:[dty_type_cnt5]])</f>
        <v>6</v>
      </c>
    </row>
    <row r="144" spans="1:25" x14ac:dyDescent="0.25">
      <c r="A144" s="15">
        <v>46104</v>
      </c>
      <c r="B144" t="s">
        <v>430</v>
      </c>
      <c r="C144" t="s">
        <v>114</v>
      </c>
      <c r="D144" t="s">
        <v>46</v>
      </c>
      <c r="E144" t="s">
        <v>139</v>
      </c>
      <c r="F144" t="s">
        <v>140</v>
      </c>
      <c r="G144" t="s">
        <v>115</v>
      </c>
      <c r="H144" t="s">
        <v>60</v>
      </c>
      <c r="I144" t="s">
        <v>115</v>
      </c>
      <c r="J144" t="s">
        <v>0</v>
      </c>
      <c r="K144" t="s">
        <v>59</v>
      </c>
      <c r="L144">
        <v>27480</v>
      </c>
      <c r="M144">
        <v>19</v>
      </c>
      <c r="N144">
        <v>6</v>
      </c>
      <c r="O144">
        <v>897.18</v>
      </c>
      <c r="P144">
        <v>90</v>
      </c>
      <c r="Q144">
        <v>25</v>
      </c>
      <c r="R144">
        <v>2</v>
      </c>
      <c r="S144" t="s">
        <v>116</v>
      </c>
      <c r="T144">
        <v>2</v>
      </c>
      <c r="U144">
        <v>2</v>
      </c>
      <c r="V144">
        <v>0</v>
      </c>
      <c r="W144">
        <v>0</v>
      </c>
      <c r="X144">
        <v>0</v>
      </c>
      <c r="Y144" s="20">
        <f>SUM(Table1[[#This Row],[dty_type_cnt1]:[dty_type_cnt5]])</f>
        <v>4</v>
      </c>
    </row>
    <row r="145" spans="1:25" x14ac:dyDescent="0.25">
      <c r="A145" s="15">
        <v>46104</v>
      </c>
      <c r="B145" t="s">
        <v>430</v>
      </c>
      <c r="C145" t="s">
        <v>114</v>
      </c>
      <c r="D145" t="s">
        <v>46</v>
      </c>
      <c r="E145">
        <v>44</v>
      </c>
      <c r="F145" t="s">
        <v>117</v>
      </c>
      <c r="G145" t="s">
        <v>115</v>
      </c>
      <c r="H145" t="s">
        <v>60</v>
      </c>
      <c r="I145" t="s">
        <v>115</v>
      </c>
      <c r="J145" t="s">
        <v>0</v>
      </c>
      <c r="K145" t="s">
        <v>59</v>
      </c>
      <c r="L145">
        <v>27480</v>
      </c>
      <c r="M145">
        <v>59</v>
      </c>
      <c r="N145">
        <v>24</v>
      </c>
      <c r="O145">
        <v>1878.3989999999999</v>
      </c>
      <c r="P145">
        <v>360.9</v>
      </c>
      <c r="Q145">
        <v>30</v>
      </c>
      <c r="R145">
        <v>8</v>
      </c>
      <c r="S145" t="s">
        <v>116</v>
      </c>
      <c r="T145">
        <v>9</v>
      </c>
      <c r="U145">
        <v>6</v>
      </c>
      <c r="V145">
        <v>2</v>
      </c>
      <c r="W145">
        <v>0</v>
      </c>
      <c r="X145">
        <v>0</v>
      </c>
      <c r="Y145" s="20">
        <f>SUM(Table1[[#This Row],[dty_type_cnt1]:[dty_type_cnt5]])</f>
        <v>17</v>
      </c>
    </row>
    <row r="146" spans="1:25" x14ac:dyDescent="0.25">
      <c r="A146" s="15">
        <v>46104</v>
      </c>
      <c r="B146" t="s">
        <v>430</v>
      </c>
      <c r="C146" t="s">
        <v>114</v>
      </c>
      <c r="D146" t="s">
        <v>46</v>
      </c>
      <c r="E146">
        <v>50</v>
      </c>
      <c r="F146" t="s">
        <v>118</v>
      </c>
      <c r="G146" t="s">
        <v>115</v>
      </c>
      <c r="H146" t="s">
        <v>60</v>
      </c>
      <c r="I146" t="s">
        <v>115</v>
      </c>
      <c r="J146" t="s">
        <v>0</v>
      </c>
      <c r="K146" t="s">
        <v>59</v>
      </c>
      <c r="L146">
        <v>27480</v>
      </c>
      <c r="M146">
        <v>86</v>
      </c>
      <c r="N146">
        <v>28</v>
      </c>
      <c r="O146">
        <v>3368.56</v>
      </c>
      <c r="P146">
        <v>430.15</v>
      </c>
      <c r="Q146">
        <v>20</v>
      </c>
      <c r="R146">
        <v>12</v>
      </c>
      <c r="S146" t="s">
        <v>116</v>
      </c>
      <c r="T146">
        <v>10</v>
      </c>
      <c r="U146">
        <v>11</v>
      </c>
      <c r="V146">
        <v>2</v>
      </c>
      <c r="W146">
        <v>0</v>
      </c>
      <c r="X146">
        <v>0</v>
      </c>
      <c r="Y146" s="20">
        <f>SUM(Table1[[#This Row],[dty_type_cnt1]:[dty_type_cnt5]])</f>
        <v>23</v>
      </c>
    </row>
    <row r="147" spans="1:25" x14ac:dyDescent="0.25">
      <c r="A147" s="15">
        <v>46104</v>
      </c>
      <c r="B147" t="s">
        <v>430</v>
      </c>
      <c r="C147" t="s">
        <v>114</v>
      </c>
      <c r="D147" t="s">
        <v>46</v>
      </c>
      <c r="E147">
        <v>53</v>
      </c>
      <c r="F147" t="s">
        <v>74</v>
      </c>
      <c r="G147" t="s">
        <v>115</v>
      </c>
      <c r="H147" t="s">
        <v>60</v>
      </c>
      <c r="I147" t="s">
        <v>115</v>
      </c>
      <c r="J147" t="s">
        <v>0</v>
      </c>
      <c r="K147" t="s">
        <v>59</v>
      </c>
      <c r="L147">
        <v>27480</v>
      </c>
      <c r="M147">
        <v>86</v>
      </c>
      <c r="N147">
        <v>24</v>
      </c>
      <c r="O147">
        <v>2842.6010000000001</v>
      </c>
      <c r="P147">
        <v>447.1</v>
      </c>
      <c r="Q147">
        <v>20</v>
      </c>
      <c r="R147">
        <v>12</v>
      </c>
      <c r="S147" t="s">
        <v>116</v>
      </c>
      <c r="T147">
        <v>9</v>
      </c>
      <c r="U147">
        <v>12</v>
      </c>
      <c r="V147">
        <v>5</v>
      </c>
      <c r="W147">
        <v>0</v>
      </c>
      <c r="X147">
        <v>0</v>
      </c>
      <c r="Y147" s="20">
        <f>SUM(Table1[[#This Row],[dty_type_cnt1]:[dty_type_cnt5]])</f>
        <v>26</v>
      </c>
    </row>
    <row r="148" spans="1:25" x14ac:dyDescent="0.25">
      <c r="A148" s="15">
        <v>46104</v>
      </c>
      <c r="B148" t="s">
        <v>430</v>
      </c>
      <c r="C148" t="s">
        <v>114</v>
      </c>
      <c r="D148" t="s">
        <v>46</v>
      </c>
      <c r="E148">
        <v>55</v>
      </c>
      <c r="F148" t="s">
        <v>48</v>
      </c>
      <c r="G148" t="s">
        <v>115</v>
      </c>
      <c r="H148" t="s">
        <v>60</v>
      </c>
      <c r="I148" t="s">
        <v>115</v>
      </c>
      <c r="J148" t="s">
        <v>0</v>
      </c>
      <c r="K148" t="s">
        <v>59</v>
      </c>
      <c r="L148">
        <v>27480</v>
      </c>
      <c r="M148">
        <v>60</v>
      </c>
      <c r="N148">
        <v>18</v>
      </c>
      <c r="O148">
        <v>1590.481</v>
      </c>
      <c r="P148">
        <v>162.80000000000001</v>
      </c>
      <c r="Q148">
        <v>25</v>
      </c>
      <c r="R148">
        <v>7</v>
      </c>
      <c r="S148" t="s">
        <v>116</v>
      </c>
      <c r="T148">
        <v>6</v>
      </c>
      <c r="U148">
        <v>7</v>
      </c>
      <c r="V148">
        <v>0</v>
      </c>
      <c r="W148">
        <v>0</v>
      </c>
      <c r="X148">
        <v>0</v>
      </c>
      <c r="Y148" s="20">
        <f>SUM(Table1[[#This Row],[dty_type_cnt1]:[dty_type_cnt5]])</f>
        <v>13</v>
      </c>
    </row>
    <row r="149" spans="1:25" x14ac:dyDescent="0.25">
      <c r="A149" s="15">
        <v>46104</v>
      </c>
      <c r="B149" t="s">
        <v>430</v>
      </c>
      <c r="C149" t="s">
        <v>114</v>
      </c>
      <c r="D149" t="s">
        <v>46</v>
      </c>
      <c r="E149">
        <v>64</v>
      </c>
      <c r="F149" t="s">
        <v>75</v>
      </c>
      <c r="G149" t="s">
        <v>115</v>
      </c>
      <c r="H149" t="s">
        <v>60</v>
      </c>
      <c r="I149" t="s">
        <v>115</v>
      </c>
      <c r="J149" t="s">
        <v>76</v>
      </c>
      <c r="K149" t="s">
        <v>59</v>
      </c>
      <c r="L149">
        <v>27480</v>
      </c>
      <c r="M149">
        <v>88</v>
      </c>
      <c r="N149">
        <v>44</v>
      </c>
      <c r="O149">
        <v>2910.556</v>
      </c>
      <c r="P149">
        <v>803.58600000000001</v>
      </c>
      <c r="Q149">
        <v>15</v>
      </c>
      <c r="R149">
        <v>14</v>
      </c>
      <c r="S149" t="s">
        <v>116</v>
      </c>
      <c r="T149">
        <v>15</v>
      </c>
      <c r="U149">
        <v>9</v>
      </c>
      <c r="V149">
        <v>4</v>
      </c>
      <c r="W149">
        <v>0</v>
      </c>
      <c r="X149">
        <v>0</v>
      </c>
      <c r="Y149" s="20">
        <f>SUM(Table1[[#This Row],[dty_type_cnt1]:[dty_type_cnt5]])</f>
        <v>28</v>
      </c>
    </row>
    <row r="150" spans="1:25" x14ac:dyDescent="0.25">
      <c r="A150" s="15">
        <v>46104</v>
      </c>
      <c r="B150" t="s">
        <v>430</v>
      </c>
      <c r="C150" t="s">
        <v>114</v>
      </c>
      <c r="D150" t="s">
        <v>46</v>
      </c>
      <c r="E150">
        <v>77</v>
      </c>
      <c r="F150" t="s">
        <v>150</v>
      </c>
      <c r="G150" t="s">
        <v>115</v>
      </c>
      <c r="H150" t="s">
        <v>60</v>
      </c>
      <c r="I150" t="s">
        <v>115</v>
      </c>
      <c r="J150" t="s">
        <v>0</v>
      </c>
      <c r="K150" t="s">
        <v>59</v>
      </c>
      <c r="L150">
        <v>27480</v>
      </c>
      <c r="M150">
        <v>87</v>
      </c>
      <c r="N150">
        <v>18</v>
      </c>
      <c r="O150">
        <v>1064.152</v>
      </c>
      <c r="P150">
        <v>351.4</v>
      </c>
      <c r="Q150">
        <v>20</v>
      </c>
      <c r="R150">
        <v>7</v>
      </c>
      <c r="S150" t="s">
        <v>116</v>
      </c>
      <c r="T150">
        <v>6</v>
      </c>
      <c r="U150">
        <v>7</v>
      </c>
      <c r="V150">
        <v>0</v>
      </c>
      <c r="W150">
        <v>0</v>
      </c>
      <c r="X150">
        <v>0</v>
      </c>
      <c r="Y150" s="20">
        <f>SUM(Table1[[#This Row],[dty_type_cnt1]:[dty_type_cnt5]])</f>
        <v>13</v>
      </c>
    </row>
    <row r="151" spans="1:25" x14ac:dyDescent="0.25">
      <c r="A151" s="15">
        <v>46104</v>
      </c>
      <c r="B151" t="s">
        <v>430</v>
      </c>
      <c r="C151" t="s">
        <v>114</v>
      </c>
      <c r="D151" t="s">
        <v>46</v>
      </c>
      <c r="E151">
        <v>88</v>
      </c>
      <c r="F151" t="s">
        <v>119</v>
      </c>
      <c r="G151" t="s">
        <v>115</v>
      </c>
      <c r="H151" t="s">
        <v>60</v>
      </c>
      <c r="I151" t="s">
        <v>115</v>
      </c>
      <c r="J151" t="s">
        <v>0</v>
      </c>
      <c r="K151" t="s">
        <v>59</v>
      </c>
      <c r="L151">
        <v>27480</v>
      </c>
      <c r="M151">
        <v>36</v>
      </c>
      <c r="N151">
        <v>10</v>
      </c>
      <c r="O151">
        <v>1109.3710000000001</v>
      </c>
      <c r="P151">
        <v>271.3</v>
      </c>
      <c r="Q151">
        <v>25</v>
      </c>
      <c r="R151">
        <v>5</v>
      </c>
      <c r="S151" t="s">
        <v>116</v>
      </c>
      <c r="T151">
        <v>5</v>
      </c>
      <c r="U151">
        <v>5</v>
      </c>
      <c r="V151">
        <v>0</v>
      </c>
      <c r="W151">
        <v>0</v>
      </c>
      <c r="X151">
        <v>0</v>
      </c>
      <c r="Y151" s="20">
        <f>SUM(Table1[[#This Row],[dty_type_cnt1]:[dty_type_cnt5]])</f>
        <v>10</v>
      </c>
    </row>
    <row r="152" spans="1:25" x14ac:dyDescent="0.25">
      <c r="A152" s="15">
        <v>46104</v>
      </c>
      <c r="B152" t="s">
        <v>430</v>
      </c>
      <c r="C152" t="s">
        <v>114</v>
      </c>
      <c r="D152" t="s">
        <v>46</v>
      </c>
      <c r="E152" t="s">
        <v>120</v>
      </c>
      <c r="F152" t="s">
        <v>121</v>
      </c>
      <c r="G152" t="s">
        <v>115</v>
      </c>
      <c r="H152" t="s">
        <v>60</v>
      </c>
      <c r="I152" t="s">
        <v>115</v>
      </c>
      <c r="J152" t="s">
        <v>47</v>
      </c>
      <c r="K152" t="s">
        <v>59</v>
      </c>
      <c r="L152">
        <v>27480</v>
      </c>
      <c r="M152">
        <v>67</v>
      </c>
      <c r="N152">
        <v>10</v>
      </c>
      <c r="O152">
        <v>1141.4760000000001</v>
      </c>
      <c r="P152">
        <v>243.7</v>
      </c>
      <c r="Q152">
        <v>15</v>
      </c>
      <c r="R152">
        <v>5</v>
      </c>
      <c r="S152" t="s">
        <v>116</v>
      </c>
      <c r="T152">
        <v>7</v>
      </c>
      <c r="U152">
        <v>3</v>
      </c>
      <c r="V152">
        <v>5</v>
      </c>
      <c r="W152">
        <v>0</v>
      </c>
      <c r="X152">
        <v>0</v>
      </c>
      <c r="Y152" s="20">
        <f>SUM(Table1[[#This Row],[dty_type_cnt1]:[dty_type_cnt5]])</f>
        <v>15</v>
      </c>
    </row>
    <row r="153" spans="1:25" x14ac:dyDescent="0.25">
      <c r="A153" s="15">
        <v>46104</v>
      </c>
      <c r="B153" t="s">
        <v>430</v>
      </c>
      <c r="C153" t="s">
        <v>114</v>
      </c>
      <c r="D153" t="s">
        <v>46</v>
      </c>
      <c r="E153" t="s">
        <v>52</v>
      </c>
      <c r="F153" t="s">
        <v>53</v>
      </c>
      <c r="G153" t="s">
        <v>115</v>
      </c>
      <c r="H153" t="s">
        <v>60</v>
      </c>
      <c r="I153" t="s">
        <v>115</v>
      </c>
      <c r="J153" t="s">
        <v>0</v>
      </c>
      <c r="K153" t="s">
        <v>59</v>
      </c>
      <c r="L153">
        <v>27480</v>
      </c>
      <c r="M153">
        <v>86</v>
      </c>
      <c r="N153">
        <v>20</v>
      </c>
      <c r="O153">
        <v>2041.6189999999999</v>
      </c>
      <c r="P153">
        <v>568.75</v>
      </c>
      <c r="Q153">
        <v>15</v>
      </c>
      <c r="R153">
        <v>10</v>
      </c>
      <c r="S153" t="s">
        <v>116</v>
      </c>
      <c r="T153">
        <v>11</v>
      </c>
      <c r="U153">
        <v>8</v>
      </c>
      <c r="V153">
        <v>4</v>
      </c>
      <c r="W153">
        <v>0</v>
      </c>
      <c r="X153">
        <v>0</v>
      </c>
      <c r="Y153" s="20">
        <f>SUM(Table1[[#This Row],[dty_type_cnt1]:[dty_type_cnt5]])</f>
        <v>23</v>
      </c>
    </row>
    <row r="154" spans="1:25" x14ac:dyDescent="0.25">
      <c r="A154" s="15">
        <v>46104</v>
      </c>
      <c r="B154" t="s">
        <v>430</v>
      </c>
      <c r="C154" t="s">
        <v>114</v>
      </c>
      <c r="D154" t="s">
        <v>46</v>
      </c>
      <c r="E154" t="s">
        <v>122</v>
      </c>
      <c r="F154" t="s">
        <v>123</v>
      </c>
      <c r="G154" t="s">
        <v>115</v>
      </c>
      <c r="H154" t="s">
        <v>60</v>
      </c>
      <c r="I154" t="s">
        <v>115</v>
      </c>
      <c r="J154" t="s">
        <v>63</v>
      </c>
      <c r="K154" t="s">
        <v>59</v>
      </c>
      <c r="L154">
        <v>27480</v>
      </c>
      <c r="M154">
        <v>27</v>
      </c>
      <c r="N154">
        <v>6</v>
      </c>
      <c r="O154">
        <v>533.08799999999997</v>
      </c>
      <c r="P154">
        <v>140.69999999999999</v>
      </c>
      <c r="Q154">
        <v>30</v>
      </c>
      <c r="R154">
        <v>3</v>
      </c>
      <c r="S154" t="s">
        <v>116</v>
      </c>
      <c r="T154">
        <v>2</v>
      </c>
      <c r="U154">
        <v>3</v>
      </c>
      <c r="V154">
        <v>0</v>
      </c>
      <c r="W154">
        <v>0</v>
      </c>
      <c r="X154">
        <v>0</v>
      </c>
      <c r="Y154" s="20">
        <f>SUM(Table1[[#This Row],[dty_type_cnt1]:[dty_type_cnt5]])</f>
        <v>5</v>
      </c>
    </row>
    <row r="155" spans="1:25" x14ac:dyDescent="0.25">
      <c r="A155" s="15">
        <v>46104</v>
      </c>
      <c r="B155" t="s">
        <v>430</v>
      </c>
      <c r="C155" t="s">
        <v>114</v>
      </c>
      <c r="D155" t="s">
        <v>46</v>
      </c>
      <c r="E155" t="s">
        <v>124</v>
      </c>
      <c r="F155" t="s">
        <v>125</v>
      </c>
      <c r="G155" t="s">
        <v>115</v>
      </c>
      <c r="H155" t="s">
        <v>60</v>
      </c>
      <c r="I155" t="s">
        <v>115</v>
      </c>
      <c r="J155" t="s">
        <v>0</v>
      </c>
      <c r="K155" t="s">
        <v>59</v>
      </c>
      <c r="L155">
        <v>27480</v>
      </c>
      <c r="M155">
        <v>22</v>
      </c>
      <c r="N155">
        <v>4</v>
      </c>
      <c r="O155">
        <v>447.214</v>
      </c>
      <c r="P155">
        <v>97.6</v>
      </c>
      <c r="Q155">
        <v>35</v>
      </c>
      <c r="R155">
        <v>2</v>
      </c>
      <c r="S155" t="s">
        <v>116</v>
      </c>
      <c r="T155">
        <v>2</v>
      </c>
      <c r="U155">
        <v>2</v>
      </c>
      <c r="V155">
        <v>2</v>
      </c>
      <c r="W155">
        <v>0</v>
      </c>
      <c r="X155">
        <v>0</v>
      </c>
      <c r="Y155" s="20">
        <f>SUM(Table1[[#This Row],[dty_type_cnt1]:[dty_type_cnt5]])</f>
        <v>6</v>
      </c>
    </row>
    <row r="156" spans="1:25" x14ac:dyDescent="0.25">
      <c r="A156" s="15">
        <v>46104</v>
      </c>
      <c r="B156" t="s">
        <v>430</v>
      </c>
      <c r="C156" t="s">
        <v>114</v>
      </c>
      <c r="D156" t="s">
        <v>54</v>
      </c>
      <c r="E156" t="s">
        <v>82</v>
      </c>
      <c r="F156" t="s">
        <v>83</v>
      </c>
      <c r="G156" t="s">
        <v>115</v>
      </c>
      <c r="H156" t="s">
        <v>60</v>
      </c>
      <c r="I156" t="s">
        <v>115</v>
      </c>
      <c r="J156" t="s">
        <v>0</v>
      </c>
      <c r="K156" t="s">
        <v>59</v>
      </c>
      <c r="L156">
        <v>27480</v>
      </c>
      <c r="M156">
        <v>32</v>
      </c>
      <c r="N156">
        <v>5</v>
      </c>
      <c r="O156">
        <v>867.904</v>
      </c>
      <c r="P156">
        <v>18.399999999999999</v>
      </c>
      <c r="Q156">
        <v>30</v>
      </c>
      <c r="R156">
        <v>1</v>
      </c>
      <c r="S156" t="s">
        <v>116</v>
      </c>
      <c r="T156">
        <v>1</v>
      </c>
      <c r="U156">
        <v>1</v>
      </c>
      <c r="V156">
        <v>0</v>
      </c>
      <c r="W156">
        <v>0</v>
      </c>
      <c r="X156">
        <v>0</v>
      </c>
      <c r="Y156" s="20">
        <f>SUM(Table1[[#This Row],[dty_type_cnt1]:[dty_type_cnt5]])</f>
        <v>2</v>
      </c>
    </row>
    <row r="157" spans="1:25" x14ac:dyDescent="0.25">
      <c r="A157" s="15">
        <v>46104</v>
      </c>
      <c r="B157" t="s">
        <v>430</v>
      </c>
      <c r="C157" t="s">
        <v>114</v>
      </c>
      <c r="D157" t="s">
        <v>54</v>
      </c>
      <c r="E157" t="s">
        <v>84</v>
      </c>
      <c r="F157" t="s">
        <v>148</v>
      </c>
      <c r="G157" t="s">
        <v>115</v>
      </c>
      <c r="H157" t="s">
        <v>60</v>
      </c>
      <c r="I157" t="s">
        <v>115</v>
      </c>
      <c r="J157" t="s">
        <v>0</v>
      </c>
      <c r="K157" t="s">
        <v>59</v>
      </c>
      <c r="L157">
        <v>27480</v>
      </c>
      <c r="M157">
        <v>54</v>
      </c>
      <c r="N157">
        <v>16</v>
      </c>
      <c r="O157">
        <v>828.04499999999996</v>
      </c>
      <c r="P157">
        <v>374.6</v>
      </c>
      <c r="Q157">
        <v>15</v>
      </c>
      <c r="R157">
        <v>7</v>
      </c>
      <c r="S157" t="s">
        <v>116</v>
      </c>
      <c r="T157">
        <v>5</v>
      </c>
      <c r="U157">
        <v>4</v>
      </c>
      <c r="V157">
        <v>4</v>
      </c>
      <c r="W157">
        <v>0</v>
      </c>
      <c r="X157">
        <v>0</v>
      </c>
      <c r="Y157" s="20">
        <f>SUM(Table1[[#This Row],[dty_type_cnt1]:[dty_type_cnt5]])</f>
        <v>13</v>
      </c>
    </row>
    <row r="158" spans="1:25" x14ac:dyDescent="0.25">
      <c r="A158" s="15">
        <v>46104</v>
      </c>
      <c r="B158" t="s">
        <v>430</v>
      </c>
      <c r="C158" t="s">
        <v>114</v>
      </c>
      <c r="D158" t="s">
        <v>54</v>
      </c>
      <c r="E158" t="s">
        <v>85</v>
      </c>
      <c r="F158" t="s">
        <v>86</v>
      </c>
      <c r="G158" t="s">
        <v>115</v>
      </c>
      <c r="H158" t="s">
        <v>60</v>
      </c>
      <c r="I158" t="s">
        <v>115</v>
      </c>
      <c r="J158" t="s">
        <v>63</v>
      </c>
      <c r="K158" t="s">
        <v>59</v>
      </c>
      <c r="L158">
        <v>27480</v>
      </c>
      <c r="M158">
        <v>79</v>
      </c>
      <c r="N158">
        <v>19</v>
      </c>
      <c r="O158">
        <v>1999.877</v>
      </c>
      <c r="P158">
        <v>231.1</v>
      </c>
      <c r="Q158">
        <v>20</v>
      </c>
      <c r="R158">
        <v>9</v>
      </c>
      <c r="S158" t="s">
        <v>116</v>
      </c>
      <c r="T158">
        <v>5</v>
      </c>
      <c r="U158">
        <v>2</v>
      </c>
      <c r="V158">
        <v>2</v>
      </c>
      <c r="W158">
        <v>0</v>
      </c>
      <c r="X158">
        <v>0</v>
      </c>
      <c r="Y158" s="20">
        <f>SUM(Table1[[#This Row],[dty_type_cnt1]:[dty_type_cnt5]])</f>
        <v>9</v>
      </c>
    </row>
    <row r="159" spans="1:25" x14ac:dyDescent="0.25">
      <c r="A159" s="15">
        <v>46104</v>
      </c>
      <c r="B159" t="s">
        <v>430</v>
      </c>
      <c r="C159" t="s">
        <v>114</v>
      </c>
      <c r="D159" t="s">
        <v>54</v>
      </c>
      <c r="E159" t="s">
        <v>87</v>
      </c>
      <c r="F159" t="s">
        <v>88</v>
      </c>
      <c r="G159" t="s">
        <v>115</v>
      </c>
      <c r="H159" t="s">
        <v>60</v>
      </c>
      <c r="I159" t="s">
        <v>115</v>
      </c>
      <c r="J159" t="s">
        <v>63</v>
      </c>
      <c r="K159" t="s">
        <v>59</v>
      </c>
      <c r="L159">
        <v>27480</v>
      </c>
      <c r="M159">
        <v>77</v>
      </c>
      <c r="N159">
        <v>13</v>
      </c>
      <c r="O159">
        <v>764.125</v>
      </c>
      <c r="P159">
        <v>132.4</v>
      </c>
      <c r="Q159">
        <v>10</v>
      </c>
      <c r="R159">
        <v>3</v>
      </c>
      <c r="S159" t="s">
        <v>116</v>
      </c>
      <c r="T159">
        <v>8</v>
      </c>
      <c r="U159">
        <v>8</v>
      </c>
      <c r="V159">
        <v>0</v>
      </c>
      <c r="W159">
        <v>0</v>
      </c>
      <c r="X159">
        <v>0</v>
      </c>
      <c r="Y159" s="20">
        <f>SUM(Table1[[#This Row],[dty_type_cnt1]:[dty_type_cnt5]])</f>
        <v>16</v>
      </c>
    </row>
    <row r="160" spans="1:25" x14ac:dyDescent="0.25">
      <c r="A160" s="15">
        <v>46104</v>
      </c>
      <c r="B160" t="s">
        <v>430</v>
      </c>
      <c r="C160" t="s">
        <v>114</v>
      </c>
      <c r="D160" t="s">
        <v>54</v>
      </c>
      <c r="E160" t="s">
        <v>89</v>
      </c>
      <c r="F160" t="s">
        <v>90</v>
      </c>
      <c r="G160" t="s">
        <v>115</v>
      </c>
      <c r="H160" t="s">
        <v>60</v>
      </c>
      <c r="I160" t="s">
        <v>115</v>
      </c>
      <c r="J160" t="s">
        <v>0</v>
      </c>
      <c r="K160" t="s">
        <v>59</v>
      </c>
      <c r="L160">
        <v>27480</v>
      </c>
      <c r="M160">
        <v>74</v>
      </c>
      <c r="N160">
        <v>10</v>
      </c>
      <c r="O160">
        <v>1935.8620000000001</v>
      </c>
      <c r="P160">
        <v>91.6</v>
      </c>
      <c r="Q160">
        <v>30</v>
      </c>
      <c r="R160">
        <v>5</v>
      </c>
      <c r="S160" t="s">
        <v>116</v>
      </c>
      <c r="T160">
        <v>10</v>
      </c>
      <c r="U160">
        <v>5</v>
      </c>
      <c r="V160">
        <v>4</v>
      </c>
      <c r="W160">
        <v>0</v>
      </c>
      <c r="X160">
        <v>0</v>
      </c>
      <c r="Y160" s="20">
        <f>SUM(Table1[[#This Row],[dty_type_cnt1]:[dty_type_cnt5]])</f>
        <v>19</v>
      </c>
    </row>
    <row r="161" spans="1:25" x14ac:dyDescent="0.25">
      <c r="A161" s="15">
        <v>46104</v>
      </c>
      <c r="B161" t="s">
        <v>430</v>
      </c>
      <c r="C161" t="s">
        <v>114</v>
      </c>
      <c r="D161" t="s">
        <v>54</v>
      </c>
      <c r="E161" t="s">
        <v>91</v>
      </c>
      <c r="F161" t="s">
        <v>126</v>
      </c>
      <c r="G161" t="s">
        <v>115</v>
      </c>
      <c r="H161" t="s">
        <v>60</v>
      </c>
      <c r="I161" t="s">
        <v>115</v>
      </c>
      <c r="J161" t="s">
        <v>76</v>
      </c>
      <c r="K161" t="s">
        <v>59</v>
      </c>
      <c r="L161">
        <v>27480</v>
      </c>
      <c r="M161">
        <v>187</v>
      </c>
      <c r="N161">
        <v>21</v>
      </c>
      <c r="O161">
        <v>927.41</v>
      </c>
      <c r="P161">
        <v>389.1</v>
      </c>
      <c r="Q161">
        <v>10</v>
      </c>
      <c r="R161">
        <v>7</v>
      </c>
      <c r="S161" t="s">
        <v>116</v>
      </c>
      <c r="T161">
        <v>7</v>
      </c>
      <c r="U161">
        <v>7</v>
      </c>
      <c r="V161">
        <v>0</v>
      </c>
      <c r="W161">
        <v>0</v>
      </c>
      <c r="X161">
        <v>0</v>
      </c>
      <c r="Y161" s="20">
        <f>SUM(Table1[[#This Row],[dty_type_cnt1]:[dty_type_cnt5]])</f>
        <v>14</v>
      </c>
    </row>
    <row r="162" spans="1:25" x14ac:dyDescent="0.25">
      <c r="A162" s="15">
        <v>46104</v>
      </c>
      <c r="B162" t="s">
        <v>430</v>
      </c>
      <c r="C162" t="s">
        <v>114</v>
      </c>
      <c r="D162" t="s">
        <v>54</v>
      </c>
      <c r="E162" t="s">
        <v>94</v>
      </c>
      <c r="F162" t="s">
        <v>127</v>
      </c>
      <c r="G162" t="s">
        <v>115</v>
      </c>
      <c r="H162" t="s">
        <v>60</v>
      </c>
      <c r="I162" t="s">
        <v>115</v>
      </c>
      <c r="J162" t="s">
        <v>76</v>
      </c>
      <c r="K162" t="s">
        <v>59</v>
      </c>
      <c r="L162">
        <v>27480</v>
      </c>
      <c r="M162">
        <v>219</v>
      </c>
      <c r="N162">
        <v>28</v>
      </c>
      <c r="O162">
        <v>1202.6099999999999</v>
      </c>
      <c r="P162">
        <v>489.6</v>
      </c>
      <c r="Q162">
        <v>8</v>
      </c>
      <c r="R162">
        <v>9</v>
      </c>
      <c r="S162" t="s">
        <v>116</v>
      </c>
      <c r="T162">
        <v>9</v>
      </c>
      <c r="U162">
        <v>7</v>
      </c>
      <c r="V162">
        <v>2</v>
      </c>
      <c r="W162">
        <v>0</v>
      </c>
      <c r="X162">
        <v>0</v>
      </c>
      <c r="Y162" s="20">
        <f>SUM(Table1[[#This Row],[dty_type_cnt1]:[dty_type_cnt5]])</f>
        <v>18</v>
      </c>
    </row>
    <row r="163" spans="1:25" x14ac:dyDescent="0.25">
      <c r="A163" s="15">
        <v>46104</v>
      </c>
      <c r="B163" t="s">
        <v>430</v>
      </c>
      <c r="C163" t="s">
        <v>114</v>
      </c>
      <c r="D163" t="s">
        <v>54</v>
      </c>
      <c r="E163" t="s">
        <v>128</v>
      </c>
      <c r="F163" t="s">
        <v>129</v>
      </c>
      <c r="G163" t="s">
        <v>115</v>
      </c>
      <c r="H163" t="s">
        <v>60</v>
      </c>
      <c r="I163" t="s">
        <v>115</v>
      </c>
      <c r="J163" t="s">
        <v>0</v>
      </c>
      <c r="K163" t="s">
        <v>59</v>
      </c>
      <c r="L163">
        <v>27480</v>
      </c>
      <c r="M163">
        <v>73</v>
      </c>
      <c r="N163">
        <v>10</v>
      </c>
      <c r="O163">
        <v>1312.8710000000001</v>
      </c>
      <c r="P163">
        <v>179.65</v>
      </c>
      <c r="Q163">
        <v>30</v>
      </c>
      <c r="R163">
        <v>5</v>
      </c>
      <c r="S163" t="s">
        <v>116</v>
      </c>
      <c r="T163">
        <v>6</v>
      </c>
      <c r="U163">
        <v>4</v>
      </c>
      <c r="V163">
        <v>3</v>
      </c>
      <c r="W163">
        <v>0</v>
      </c>
      <c r="X163">
        <v>0</v>
      </c>
      <c r="Y163" s="20">
        <f>SUM(Table1[[#This Row],[dty_type_cnt1]:[dty_type_cnt5]])</f>
        <v>13</v>
      </c>
    </row>
    <row r="164" spans="1:25" x14ac:dyDescent="0.25">
      <c r="A164" s="15">
        <v>46104</v>
      </c>
      <c r="B164" t="s">
        <v>430</v>
      </c>
      <c r="C164" t="s">
        <v>114</v>
      </c>
      <c r="D164" t="s">
        <v>54</v>
      </c>
      <c r="E164" t="s">
        <v>130</v>
      </c>
      <c r="F164" t="s">
        <v>131</v>
      </c>
      <c r="G164" t="s">
        <v>115</v>
      </c>
      <c r="H164" t="s">
        <v>60</v>
      </c>
      <c r="I164" t="s">
        <v>115</v>
      </c>
      <c r="J164" t="s">
        <v>63</v>
      </c>
      <c r="K164" t="s">
        <v>59</v>
      </c>
      <c r="L164">
        <v>27480</v>
      </c>
      <c r="M164">
        <v>74</v>
      </c>
      <c r="N164">
        <v>6</v>
      </c>
      <c r="O164">
        <v>761.49699999999996</v>
      </c>
      <c r="P164">
        <v>97.2</v>
      </c>
      <c r="Q164">
        <v>30</v>
      </c>
      <c r="R164">
        <v>3</v>
      </c>
      <c r="S164" t="s">
        <v>116</v>
      </c>
      <c r="T164">
        <v>5</v>
      </c>
      <c r="U164">
        <v>1</v>
      </c>
      <c r="V164">
        <v>2</v>
      </c>
      <c r="W164">
        <v>0</v>
      </c>
      <c r="X164">
        <v>0</v>
      </c>
      <c r="Y164" s="20">
        <f>SUM(Table1[[#This Row],[dty_type_cnt1]:[dty_type_cnt5]])</f>
        <v>8</v>
      </c>
    </row>
    <row r="165" spans="1:25" x14ac:dyDescent="0.25">
      <c r="A165" s="15">
        <v>46104</v>
      </c>
      <c r="B165" t="s">
        <v>430</v>
      </c>
      <c r="C165" t="s">
        <v>114</v>
      </c>
      <c r="D165" t="s">
        <v>54</v>
      </c>
      <c r="E165" t="s">
        <v>95</v>
      </c>
      <c r="F165" t="s">
        <v>96</v>
      </c>
      <c r="G165" t="s">
        <v>115</v>
      </c>
      <c r="H165" t="s">
        <v>60</v>
      </c>
      <c r="I165" t="s">
        <v>115</v>
      </c>
      <c r="J165" t="s">
        <v>0</v>
      </c>
      <c r="K165" t="s">
        <v>59</v>
      </c>
      <c r="L165">
        <v>27480</v>
      </c>
      <c r="M165">
        <v>30</v>
      </c>
      <c r="N165">
        <v>6</v>
      </c>
      <c r="O165">
        <v>500.28899999999999</v>
      </c>
      <c r="P165">
        <v>66.400000000000006</v>
      </c>
      <c r="Q165">
        <v>30</v>
      </c>
      <c r="R165">
        <v>3</v>
      </c>
      <c r="S165" t="s">
        <v>116</v>
      </c>
      <c r="T165">
        <v>0</v>
      </c>
      <c r="U165">
        <v>1</v>
      </c>
      <c r="V165">
        <v>0</v>
      </c>
      <c r="W165">
        <v>0</v>
      </c>
      <c r="X165">
        <v>0</v>
      </c>
      <c r="Y165" s="20">
        <f>SUM(Table1[[#This Row],[dty_type_cnt1]:[dty_type_cnt5]])</f>
        <v>1</v>
      </c>
    </row>
    <row r="166" spans="1:25" x14ac:dyDescent="0.25">
      <c r="A166" s="15">
        <v>46104</v>
      </c>
      <c r="B166" t="s">
        <v>430</v>
      </c>
      <c r="C166" t="s">
        <v>114</v>
      </c>
      <c r="D166" t="s">
        <v>54</v>
      </c>
      <c r="E166" t="s">
        <v>97</v>
      </c>
      <c r="F166" t="s">
        <v>98</v>
      </c>
      <c r="G166" t="s">
        <v>115</v>
      </c>
      <c r="H166" t="s">
        <v>60</v>
      </c>
      <c r="I166" t="s">
        <v>115</v>
      </c>
      <c r="J166" t="s">
        <v>0</v>
      </c>
      <c r="K166" t="s">
        <v>59</v>
      </c>
      <c r="L166">
        <v>27480</v>
      </c>
      <c r="M166">
        <v>32</v>
      </c>
      <c r="N166">
        <v>7</v>
      </c>
      <c r="O166">
        <v>826.19100000000003</v>
      </c>
      <c r="P166">
        <v>65.8</v>
      </c>
      <c r="Q166">
        <v>30</v>
      </c>
      <c r="R166">
        <v>2</v>
      </c>
      <c r="S166" t="s">
        <v>116</v>
      </c>
      <c r="T166">
        <v>4</v>
      </c>
      <c r="U166">
        <v>3</v>
      </c>
      <c r="V166">
        <v>1</v>
      </c>
      <c r="W166">
        <v>0</v>
      </c>
      <c r="X166">
        <v>0</v>
      </c>
      <c r="Y166" s="20">
        <f>SUM(Table1[[#This Row],[dty_type_cnt1]:[dty_type_cnt5]])</f>
        <v>8</v>
      </c>
    </row>
    <row r="167" spans="1:25" x14ac:dyDescent="0.25">
      <c r="A167" s="15">
        <v>46104</v>
      </c>
      <c r="B167" t="s">
        <v>430</v>
      </c>
      <c r="C167" t="s">
        <v>114</v>
      </c>
      <c r="D167" t="s">
        <v>54</v>
      </c>
      <c r="E167" t="s">
        <v>109</v>
      </c>
      <c r="F167" t="s">
        <v>151</v>
      </c>
      <c r="G167" t="s">
        <v>115</v>
      </c>
      <c r="H167" t="s">
        <v>60</v>
      </c>
      <c r="I167" t="s">
        <v>115</v>
      </c>
      <c r="J167" t="s">
        <v>0</v>
      </c>
      <c r="K167" t="s">
        <v>59</v>
      </c>
      <c r="L167">
        <v>27480</v>
      </c>
      <c r="M167">
        <v>76</v>
      </c>
      <c r="N167">
        <v>10</v>
      </c>
      <c r="O167">
        <v>1375.4480000000001</v>
      </c>
      <c r="P167">
        <v>178</v>
      </c>
      <c r="Q167">
        <v>30</v>
      </c>
      <c r="R167">
        <v>5</v>
      </c>
      <c r="S167" t="s">
        <v>116</v>
      </c>
      <c r="T167">
        <v>7</v>
      </c>
      <c r="U167">
        <v>3</v>
      </c>
      <c r="V167">
        <v>2</v>
      </c>
      <c r="W167">
        <v>0</v>
      </c>
      <c r="X167">
        <v>0</v>
      </c>
      <c r="Y167" s="20">
        <f>SUM(Table1[[#This Row],[dty_type_cnt1]:[dty_type_cnt5]])</f>
        <v>12</v>
      </c>
    </row>
    <row r="168" spans="1:25" x14ac:dyDescent="0.25">
      <c r="A168" s="15">
        <v>46104</v>
      </c>
      <c r="B168" t="s">
        <v>430</v>
      </c>
      <c r="C168" t="s">
        <v>114</v>
      </c>
      <c r="D168" t="s">
        <v>54</v>
      </c>
      <c r="E168" t="s">
        <v>132</v>
      </c>
      <c r="F168" t="s">
        <v>133</v>
      </c>
      <c r="G168" t="s">
        <v>115</v>
      </c>
      <c r="H168" t="s">
        <v>60</v>
      </c>
      <c r="I168" t="s">
        <v>115</v>
      </c>
      <c r="J168" t="s">
        <v>0</v>
      </c>
      <c r="K168" t="s">
        <v>59</v>
      </c>
      <c r="L168">
        <v>27480</v>
      </c>
      <c r="M168">
        <v>13</v>
      </c>
      <c r="N168">
        <v>2</v>
      </c>
      <c r="O168">
        <v>86.593000000000004</v>
      </c>
      <c r="P168">
        <v>50</v>
      </c>
      <c r="Q168">
        <v>20</v>
      </c>
      <c r="R168">
        <v>1</v>
      </c>
      <c r="S168" t="s">
        <v>116</v>
      </c>
      <c r="T168">
        <v>1</v>
      </c>
      <c r="U168">
        <v>0</v>
      </c>
      <c r="V168">
        <v>1</v>
      </c>
      <c r="W168">
        <v>0</v>
      </c>
      <c r="X168">
        <v>0</v>
      </c>
      <c r="Y168" s="20">
        <f>SUM(Table1[[#This Row],[dty_type_cnt1]:[dty_type_cnt5]])</f>
        <v>2</v>
      </c>
    </row>
    <row r="169" spans="1:25" x14ac:dyDescent="0.25">
      <c r="A169" s="15">
        <v>46104</v>
      </c>
      <c r="B169" t="s">
        <v>430</v>
      </c>
      <c r="C169" t="s">
        <v>114</v>
      </c>
      <c r="D169" t="s">
        <v>54</v>
      </c>
      <c r="E169" t="s">
        <v>99</v>
      </c>
      <c r="F169" t="s">
        <v>100</v>
      </c>
      <c r="G169" t="s">
        <v>115</v>
      </c>
      <c r="H169" t="s">
        <v>60</v>
      </c>
      <c r="I169" t="s">
        <v>115</v>
      </c>
      <c r="J169" t="s">
        <v>63</v>
      </c>
      <c r="K169" t="s">
        <v>59</v>
      </c>
      <c r="L169">
        <v>27480</v>
      </c>
      <c r="M169">
        <v>19</v>
      </c>
      <c r="N169">
        <v>4</v>
      </c>
      <c r="O169">
        <v>259.08199999999999</v>
      </c>
      <c r="P169">
        <v>106.8</v>
      </c>
      <c r="Q169">
        <v>25</v>
      </c>
      <c r="R169">
        <v>2</v>
      </c>
      <c r="S169" t="s">
        <v>116</v>
      </c>
      <c r="T169">
        <v>1</v>
      </c>
      <c r="U169">
        <v>2</v>
      </c>
      <c r="V169">
        <v>1</v>
      </c>
      <c r="W169">
        <v>0</v>
      </c>
      <c r="X169">
        <v>0</v>
      </c>
      <c r="Y169" s="20">
        <f>SUM(Table1[[#This Row],[dty_type_cnt1]:[dty_type_cnt5]])</f>
        <v>4</v>
      </c>
    </row>
    <row r="170" spans="1:25" x14ac:dyDescent="0.25">
      <c r="A170" s="15">
        <v>46104</v>
      </c>
      <c r="B170" t="s">
        <v>430</v>
      </c>
      <c r="C170" t="s">
        <v>114</v>
      </c>
      <c r="D170" t="s">
        <v>49</v>
      </c>
      <c r="E170" t="s">
        <v>105</v>
      </c>
      <c r="F170" t="s">
        <v>152</v>
      </c>
      <c r="G170" t="s">
        <v>115</v>
      </c>
      <c r="H170" t="s">
        <v>60</v>
      </c>
      <c r="I170" t="s">
        <v>115</v>
      </c>
      <c r="J170" t="s">
        <v>76</v>
      </c>
      <c r="K170" t="s">
        <v>59</v>
      </c>
      <c r="L170">
        <v>27480</v>
      </c>
      <c r="M170">
        <v>56</v>
      </c>
      <c r="N170">
        <v>16</v>
      </c>
      <c r="O170">
        <v>1731.191</v>
      </c>
      <c r="P170">
        <v>276.10000000000002</v>
      </c>
      <c r="Q170">
        <v>25</v>
      </c>
      <c r="R170">
        <v>7</v>
      </c>
      <c r="S170" t="s">
        <v>116</v>
      </c>
      <c r="T170">
        <v>7</v>
      </c>
      <c r="U170">
        <v>5</v>
      </c>
      <c r="V170">
        <v>0</v>
      </c>
      <c r="W170">
        <v>0</v>
      </c>
      <c r="X170">
        <v>0</v>
      </c>
      <c r="Y170" s="20">
        <f>SUM(Table1[[#This Row],[dty_type_cnt1]:[dty_type_cnt5]])</f>
        <v>12</v>
      </c>
    </row>
    <row r="171" spans="1:25" x14ac:dyDescent="0.25">
      <c r="A171" s="15">
        <v>46104</v>
      </c>
      <c r="B171" t="s">
        <v>430</v>
      </c>
      <c r="C171" t="s">
        <v>114</v>
      </c>
      <c r="D171" t="s">
        <v>49</v>
      </c>
      <c r="E171" t="s">
        <v>106</v>
      </c>
      <c r="F171" t="s">
        <v>107</v>
      </c>
      <c r="G171" t="s">
        <v>115</v>
      </c>
      <c r="H171" t="s">
        <v>60</v>
      </c>
      <c r="I171" t="s">
        <v>115</v>
      </c>
      <c r="J171" t="s">
        <v>0</v>
      </c>
      <c r="K171" t="s">
        <v>59</v>
      </c>
      <c r="L171">
        <v>27480</v>
      </c>
      <c r="M171">
        <v>51</v>
      </c>
      <c r="N171">
        <v>34</v>
      </c>
      <c r="O171">
        <v>1483.056</v>
      </c>
      <c r="P171">
        <v>597.4</v>
      </c>
      <c r="Q171">
        <v>20</v>
      </c>
      <c r="R171">
        <v>9</v>
      </c>
      <c r="S171" t="s">
        <v>116</v>
      </c>
      <c r="T171">
        <v>9</v>
      </c>
      <c r="U171">
        <v>4</v>
      </c>
      <c r="V171">
        <v>4</v>
      </c>
      <c r="W171">
        <v>0</v>
      </c>
      <c r="X171">
        <v>0</v>
      </c>
      <c r="Y171" s="20">
        <f>SUM(Table1[[#This Row],[dty_type_cnt1]:[dty_type_cnt5]])</f>
        <v>17</v>
      </c>
    </row>
    <row r="172" spans="1:25" x14ac:dyDescent="0.25">
      <c r="A172" s="15">
        <v>46105</v>
      </c>
      <c r="B172" t="s">
        <v>430</v>
      </c>
      <c r="C172" t="s">
        <v>153</v>
      </c>
      <c r="D172" t="s">
        <v>46</v>
      </c>
      <c r="E172">
        <v>320</v>
      </c>
      <c r="F172" t="s">
        <v>73</v>
      </c>
      <c r="G172" t="s">
        <v>154</v>
      </c>
      <c r="H172" t="s">
        <v>155</v>
      </c>
      <c r="J172" t="s">
        <v>0</v>
      </c>
      <c r="K172" t="s">
        <v>1</v>
      </c>
      <c r="L172">
        <v>27470</v>
      </c>
      <c r="M172">
        <v>37</v>
      </c>
      <c r="N172">
        <v>20</v>
      </c>
      <c r="O172">
        <v>1305.0329999999999</v>
      </c>
      <c r="P172">
        <v>155</v>
      </c>
      <c r="Q172">
        <v>13</v>
      </c>
      <c r="R172">
        <v>5</v>
      </c>
      <c r="S172" t="s">
        <v>116</v>
      </c>
      <c r="T172">
        <v>5</v>
      </c>
      <c r="U172">
        <v>4</v>
      </c>
      <c r="V172">
        <v>1</v>
      </c>
      <c r="W172">
        <v>0</v>
      </c>
      <c r="X172">
        <v>0</v>
      </c>
      <c r="Y172" s="20">
        <f>SUM(Table1[[#This Row],[dty_type_cnt1]:[dty_type_cnt5]])</f>
        <v>10</v>
      </c>
    </row>
    <row r="173" spans="1:25" x14ac:dyDescent="0.25">
      <c r="A173" s="15">
        <v>46105</v>
      </c>
      <c r="B173" t="s">
        <v>430</v>
      </c>
      <c r="C173" t="s">
        <v>153</v>
      </c>
      <c r="D173" t="s">
        <v>46</v>
      </c>
      <c r="E173">
        <v>64</v>
      </c>
      <c r="F173" t="s">
        <v>75</v>
      </c>
      <c r="G173" t="s">
        <v>154</v>
      </c>
      <c r="H173" t="s">
        <v>155</v>
      </c>
      <c r="J173" t="s">
        <v>76</v>
      </c>
      <c r="K173" t="s">
        <v>1</v>
      </c>
      <c r="L173">
        <v>27470</v>
      </c>
      <c r="M173">
        <v>12</v>
      </c>
      <c r="N173">
        <v>8</v>
      </c>
      <c r="O173">
        <v>396.89400000000001</v>
      </c>
      <c r="P173">
        <v>88.561999999999998</v>
      </c>
      <c r="Q173">
        <v>25</v>
      </c>
      <c r="R173">
        <v>2</v>
      </c>
      <c r="S173" t="s">
        <v>116</v>
      </c>
      <c r="T173">
        <v>2</v>
      </c>
      <c r="U173">
        <v>1</v>
      </c>
      <c r="V173">
        <v>1</v>
      </c>
      <c r="W173">
        <v>0</v>
      </c>
      <c r="X173">
        <v>0</v>
      </c>
      <c r="Y173" s="20">
        <f>SUM(Table1[[#This Row],[dty_type_cnt1]:[dty_type_cnt5]])</f>
        <v>4</v>
      </c>
    </row>
    <row r="174" spans="1:25" x14ac:dyDescent="0.25">
      <c r="A174" s="15">
        <v>46105</v>
      </c>
      <c r="B174" t="s">
        <v>430</v>
      </c>
      <c r="C174" t="s">
        <v>153</v>
      </c>
      <c r="D174" t="s">
        <v>262</v>
      </c>
      <c r="E174" t="s">
        <v>407</v>
      </c>
      <c r="F174" t="s">
        <v>408</v>
      </c>
      <c r="G174" t="s">
        <v>154</v>
      </c>
      <c r="H174" t="s">
        <v>155</v>
      </c>
      <c r="J174" t="s">
        <v>171</v>
      </c>
      <c r="K174" t="s">
        <v>1</v>
      </c>
      <c r="L174">
        <v>27470</v>
      </c>
      <c r="M174">
        <v>42</v>
      </c>
      <c r="N174">
        <v>12</v>
      </c>
      <c r="O174">
        <v>894.07500000000005</v>
      </c>
      <c r="P174">
        <v>6</v>
      </c>
      <c r="Q174">
        <v>60</v>
      </c>
      <c r="R174">
        <v>2</v>
      </c>
      <c r="S174" t="s">
        <v>116</v>
      </c>
      <c r="T174">
        <v>2</v>
      </c>
      <c r="U174">
        <v>2</v>
      </c>
      <c r="V174">
        <v>2</v>
      </c>
      <c r="W174">
        <v>0</v>
      </c>
      <c r="X174">
        <v>0</v>
      </c>
      <c r="Y174" s="20">
        <f>SUM(Table1[[#This Row],[dty_type_cnt1]:[dty_type_cnt5]])</f>
        <v>6</v>
      </c>
    </row>
    <row r="175" spans="1:25" x14ac:dyDescent="0.25">
      <c r="A175" s="15">
        <v>46105</v>
      </c>
      <c r="B175" t="s">
        <v>430</v>
      </c>
      <c r="C175" t="s">
        <v>153</v>
      </c>
      <c r="D175" t="s">
        <v>54</v>
      </c>
      <c r="E175" t="s">
        <v>157</v>
      </c>
      <c r="F175" t="s">
        <v>158</v>
      </c>
      <c r="G175" t="s">
        <v>154</v>
      </c>
      <c r="H175" t="s">
        <v>155</v>
      </c>
      <c r="J175" t="s">
        <v>156</v>
      </c>
      <c r="K175" t="s">
        <v>1</v>
      </c>
      <c r="L175">
        <v>27470</v>
      </c>
      <c r="M175">
        <v>107</v>
      </c>
      <c r="N175">
        <v>22</v>
      </c>
      <c r="O175">
        <v>1584.6369999999999</v>
      </c>
      <c r="P175">
        <v>18.25</v>
      </c>
      <c r="Q175">
        <v>10</v>
      </c>
      <c r="R175">
        <v>11</v>
      </c>
      <c r="S175" t="s">
        <v>116</v>
      </c>
      <c r="T175">
        <v>7</v>
      </c>
      <c r="U175">
        <v>7</v>
      </c>
      <c r="V175">
        <v>3</v>
      </c>
      <c r="W175">
        <v>0</v>
      </c>
      <c r="X175">
        <v>0</v>
      </c>
      <c r="Y175" s="20">
        <f>SUM(Table1[[#This Row],[dty_type_cnt1]:[dty_type_cnt5]])</f>
        <v>17</v>
      </c>
    </row>
    <row r="176" spans="1:25" x14ac:dyDescent="0.25">
      <c r="A176" s="15">
        <v>46105</v>
      </c>
      <c r="B176" t="s">
        <v>430</v>
      </c>
      <c r="C176" t="s">
        <v>153</v>
      </c>
      <c r="D176" t="s">
        <v>49</v>
      </c>
      <c r="E176" t="s">
        <v>105</v>
      </c>
      <c r="F176" t="s">
        <v>152</v>
      </c>
      <c r="G176" t="s">
        <v>154</v>
      </c>
      <c r="H176" t="s">
        <v>155</v>
      </c>
      <c r="J176" t="s">
        <v>76</v>
      </c>
      <c r="K176" t="s">
        <v>1</v>
      </c>
      <c r="L176">
        <v>27470</v>
      </c>
      <c r="M176">
        <v>22</v>
      </c>
      <c r="N176">
        <v>10</v>
      </c>
      <c r="O176">
        <v>681.24099999999999</v>
      </c>
      <c r="P176">
        <v>106.5</v>
      </c>
      <c r="Q176">
        <v>20</v>
      </c>
      <c r="R176">
        <v>3</v>
      </c>
      <c r="S176" t="s">
        <v>116</v>
      </c>
      <c r="T176">
        <v>3</v>
      </c>
      <c r="U176">
        <v>1</v>
      </c>
      <c r="V176">
        <v>2</v>
      </c>
      <c r="W176">
        <v>0</v>
      </c>
      <c r="X176">
        <v>0</v>
      </c>
      <c r="Y176" s="20">
        <f>SUM(Table1[[#This Row],[dty_type_cnt1]:[dty_type_cnt5]])</f>
        <v>6</v>
      </c>
    </row>
    <row r="177" spans="1:25" x14ac:dyDescent="0.25">
      <c r="A177" s="15">
        <v>46105</v>
      </c>
      <c r="B177" t="s">
        <v>430</v>
      </c>
      <c r="C177" t="s">
        <v>153</v>
      </c>
      <c r="D177" t="s">
        <v>46</v>
      </c>
      <c r="E177" t="s">
        <v>137</v>
      </c>
      <c r="F177" t="s">
        <v>138</v>
      </c>
      <c r="G177" t="s">
        <v>154</v>
      </c>
      <c r="H177" t="s">
        <v>155</v>
      </c>
      <c r="J177" t="s">
        <v>0</v>
      </c>
      <c r="K177" t="s">
        <v>2</v>
      </c>
      <c r="L177">
        <v>27469</v>
      </c>
      <c r="M177">
        <v>7</v>
      </c>
      <c r="N177">
        <v>2</v>
      </c>
      <c r="O177">
        <v>357.721</v>
      </c>
      <c r="P177">
        <v>1</v>
      </c>
      <c r="Q177">
        <v>0</v>
      </c>
      <c r="R177">
        <v>0</v>
      </c>
      <c r="S177" t="s">
        <v>116</v>
      </c>
      <c r="T177">
        <v>2</v>
      </c>
      <c r="U177">
        <v>2</v>
      </c>
      <c r="V177">
        <v>0</v>
      </c>
      <c r="W177">
        <v>0</v>
      </c>
      <c r="X177">
        <v>0</v>
      </c>
      <c r="Y177" s="20">
        <f>SUM(Table1[[#This Row],[dty_type_cnt1]:[dty_type_cnt5]])</f>
        <v>4</v>
      </c>
    </row>
    <row r="178" spans="1:25" x14ac:dyDescent="0.25">
      <c r="A178" s="15">
        <v>46105</v>
      </c>
      <c r="B178" t="s">
        <v>430</v>
      </c>
      <c r="C178" t="s">
        <v>153</v>
      </c>
      <c r="D178" t="s">
        <v>46</v>
      </c>
      <c r="E178" t="s">
        <v>139</v>
      </c>
      <c r="F178" t="s">
        <v>140</v>
      </c>
      <c r="G178" t="s">
        <v>154</v>
      </c>
      <c r="H178" t="s">
        <v>155</v>
      </c>
      <c r="J178" t="s">
        <v>171</v>
      </c>
      <c r="K178" t="s">
        <v>2</v>
      </c>
      <c r="L178">
        <v>27469</v>
      </c>
      <c r="M178">
        <v>7</v>
      </c>
      <c r="N178">
        <v>2</v>
      </c>
      <c r="O178">
        <v>330.54</v>
      </c>
      <c r="P178">
        <v>1</v>
      </c>
      <c r="Q178">
        <v>85</v>
      </c>
      <c r="R178">
        <v>2</v>
      </c>
      <c r="S178" t="s">
        <v>116</v>
      </c>
      <c r="T178">
        <v>0</v>
      </c>
      <c r="U178">
        <v>0</v>
      </c>
      <c r="V178">
        <v>0</v>
      </c>
      <c r="W178">
        <v>0</v>
      </c>
      <c r="X178">
        <v>0</v>
      </c>
      <c r="Y178" s="20">
        <f>SUM(Table1[[#This Row],[dty_type_cnt1]:[dty_type_cnt5]])</f>
        <v>0</v>
      </c>
    </row>
    <row r="179" spans="1:25" x14ac:dyDescent="0.25">
      <c r="A179" s="15">
        <v>46105</v>
      </c>
      <c r="B179" t="s">
        <v>430</v>
      </c>
      <c r="C179" t="s">
        <v>153</v>
      </c>
      <c r="D179" t="s">
        <v>46</v>
      </c>
      <c r="E179">
        <v>64</v>
      </c>
      <c r="F179" t="s">
        <v>75</v>
      </c>
      <c r="G179" t="s">
        <v>154</v>
      </c>
      <c r="H179" t="s">
        <v>155</v>
      </c>
      <c r="J179" t="s">
        <v>76</v>
      </c>
      <c r="K179" t="s">
        <v>2</v>
      </c>
      <c r="L179">
        <v>27469</v>
      </c>
      <c r="M179">
        <v>8</v>
      </c>
      <c r="N179">
        <v>6</v>
      </c>
      <c r="O179">
        <v>264.596</v>
      </c>
      <c r="P179">
        <v>87.5</v>
      </c>
      <c r="Q179">
        <v>130</v>
      </c>
      <c r="R179">
        <v>2</v>
      </c>
      <c r="S179" t="s">
        <v>116</v>
      </c>
      <c r="T179">
        <v>2</v>
      </c>
      <c r="U179">
        <v>0</v>
      </c>
      <c r="V179">
        <v>1</v>
      </c>
      <c r="W179">
        <v>0</v>
      </c>
      <c r="X179">
        <v>0</v>
      </c>
      <c r="Y179" s="20">
        <f>SUM(Table1[[#This Row],[dty_type_cnt1]:[dty_type_cnt5]])</f>
        <v>3</v>
      </c>
    </row>
    <row r="180" spans="1:25" x14ac:dyDescent="0.25">
      <c r="A180" s="15">
        <v>46105</v>
      </c>
      <c r="B180" t="s">
        <v>430</v>
      </c>
      <c r="C180" t="s">
        <v>153</v>
      </c>
      <c r="D180" t="s">
        <v>262</v>
      </c>
      <c r="E180" t="s">
        <v>407</v>
      </c>
      <c r="F180" t="s">
        <v>408</v>
      </c>
      <c r="G180" t="s">
        <v>154</v>
      </c>
      <c r="H180" t="s">
        <v>155</v>
      </c>
      <c r="J180" t="s">
        <v>171</v>
      </c>
      <c r="K180" t="s">
        <v>2</v>
      </c>
      <c r="L180">
        <v>27469</v>
      </c>
      <c r="M180">
        <v>42</v>
      </c>
      <c r="N180">
        <v>12</v>
      </c>
      <c r="O180">
        <v>894.07500000000005</v>
      </c>
      <c r="P180">
        <v>6</v>
      </c>
      <c r="Q180">
        <v>60</v>
      </c>
      <c r="R180">
        <v>2</v>
      </c>
      <c r="S180" t="s">
        <v>116</v>
      </c>
      <c r="T180">
        <v>2</v>
      </c>
      <c r="U180">
        <v>2</v>
      </c>
      <c r="V180">
        <v>2</v>
      </c>
      <c r="W180">
        <v>0</v>
      </c>
      <c r="X180">
        <v>0</v>
      </c>
      <c r="Y180" s="20">
        <f>SUM(Table1[[#This Row],[dty_type_cnt1]:[dty_type_cnt5]])</f>
        <v>6</v>
      </c>
    </row>
    <row r="181" spans="1:25" x14ac:dyDescent="0.25">
      <c r="A181" s="15">
        <v>46105</v>
      </c>
      <c r="B181" t="s">
        <v>430</v>
      </c>
      <c r="C181" t="s">
        <v>153</v>
      </c>
      <c r="D181" t="s">
        <v>54</v>
      </c>
      <c r="E181" t="s">
        <v>80</v>
      </c>
      <c r="F181" t="s">
        <v>81</v>
      </c>
      <c r="G181" t="s">
        <v>154</v>
      </c>
      <c r="H181" t="s">
        <v>155</v>
      </c>
      <c r="J181" t="s">
        <v>0</v>
      </c>
      <c r="K181" t="s">
        <v>2</v>
      </c>
      <c r="L181">
        <v>27469</v>
      </c>
      <c r="M181">
        <v>38</v>
      </c>
      <c r="N181">
        <v>4</v>
      </c>
      <c r="O181">
        <v>593.59799999999996</v>
      </c>
      <c r="P181">
        <v>2</v>
      </c>
      <c r="Q181">
        <v>30</v>
      </c>
      <c r="R181">
        <v>2</v>
      </c>
      <c r="S181" t="s">
        <v>116</v>
      </c>
      <c r="T181">
        <v>3</v>
      </c>
      <c r="U181">
        <v>0</v>
      </c>
      <c r="V181">
        <v>2</v>
      </c>
      <c r="W181">
        <v>0</v>
      </c>
      <c r="X181">
        <v>0</v>
      </c>
      <c r="Y181" s="20">
        <f>SUM(Table1[[#This Row],[dty_type_cnt1]:[dty_type_cnt5]])</f>
        <v>5</v>
      </c>
    </row>
    <row r="182" spans="1:25" x14ac:dyDescent="0.25">
      <c r="A182" s="15">
        <v>46105</v>
      </c>
      <c r="B182" t="s">
        <v>430</v>
      </c>
      <c r="C182" t="s">
        <v>153</v>
      </c>
      <c r="D182" t="s">
        <v>54</v>
      </c>
      <c r="E182" t="s">
        <v>157</v>
      </c>
      <c r="F182" t="s">
        <v>158</v>
      </c>
      <c r="G182" t="s">
        <v>154</v>
      </c>
      <c r="H182" t="s">
        <v>155</v>
      </c>
      <c r="J182" t="s">
        <v>156</v>
      </c>
      <c r="K182" t="s">
        <v>2</v>
      </c>
      <c r="L182">
        <v>27469</v>
      </c>
      <c r="M182">
        <v>96</v>
      </c>
      <c r="N182">
        <v>18</v>
      </c>
      <c r="O182">
        <v>1420.902</v>
      </c>
      <c r="P182">
        <v>16.25</v>
      </c>
      <c r="Q182">
        <v>11</v>
      </c>
      <c r="R182">
        <v>9</v>
      </c>
      <c r="S182" t="s">
        <v>116</v>
      </c>
      <c r="T182">
        <v>6</v>
      </c>
      <c r="U182">
        <v>8</v>
      </c>
      <c r="V182">
        <v>2</v>
      </c>
      <c r="W182">
        <v>0</v>
      </c>
      <c r="X182">
        <v>0</v>
      </c>
      <c r="Y182" s="20">
        <f>SUM(Table1[[#This Row],[dty_type_cnt1]:[dty_type_cnt5]])</f>
        <v>16</v>
      </c>
    </row>
    <row r="183" spans="1:25" x14ac:dyDescent="0.25">
      <c r="A183" s="15">
        <v>46105</v>
      </c>
      <c r="B183" t="s">
        <v>430</v>
      </c>
      <c r="C183" t="s">
        <v>153</v>
      </c>
      <c r="D183" t="s">
        <v>49</v>
      </c>
      <c r="E183" t="s">
        <v>105</v>
      </c>
      <c r="F183" t="s">
        <v>152</v>
      </c>
      <c r="G183" t="s">
        <v>154</v>
      </c>
      <c r="H183" t="s">
        <v>155</v>
      </c>
      <c r="J183" t="s">
        <v>76</v>
      </c>
      <c r="K183" t="s">
        <v>2</v>
      </c>
      <c r="L183">
        <v>27469</v>
      </c>
      <c r="M183">
        <v>31</v>
      </c>
      <c r="N183">
        <v>12</v>
      </c>
      <c r="O183">
        <v>958.49199999999996</v>
      </c>
      <c r="P183">
        <v>166.1</v>
      </c>
      <c r="Q183">
        <v>25</v>
      </c>
      <c r="R183">
        <v>3</v>
      </c>
      <c r="S183" t="s">
        <v>116</v>
      </c>
      <c r="T183">
        <v>3</v>
      </c>
      <c r="U183">
        <v>3</v>
      </c>
      <c r="V183">
        <v>1</v>
      </c>
      <c r="W183">
        <v>0</v>
      </c>
      <c r="X183">
        <v>0</v>
      </c>
      <c r="Y183" s="20">
        <f>SUM(Table1[[#This Row],[dty_type_cnt1]:[dty_type_cnt5]])</f>
        <v>7</v>
      </c>
    </row>
    <row r="184" spans="1:25" x14ac:dyDescent="0.25">
      <c r="A184" s="15">
        <v>46105</v>
      </c>
      <c r="B184" t="s">
        <v>430</v>
      </c>
      <c r="C184" t="s">
        <v>153</v>
      </c>
      <c r="D184" t="s">
        <v>46</v>
      </c>
      <c r="E184" t="s">
        <v>137</v>
      </c>
      <c r="F184" t="s">
        <v>138</v>
      </c>
      <c r="G184" t="s">
        <v>154</v>
      </c>
      <c r="H184" t="s">
        <v>155</v>
      </c>
      <c r="J184" t="s">
        <v>156</v>
      </c>
      <c r="K184" t="s">
        <v>45</v>
      </c>
      <c r="L184">
        <v>27471</v>
      </c>
      <c r="M184">
        <v>5</v>
      </c>
      <c r="N184">
        <v>2</v>
      </c>
      <c r="O184">
        <v>255.51499999999999</v>
      </c>
      <c r="P184">
        <v>1</v>
      </c>
      <c r="Q184">
        <v>0</v>
      </c>
      <c r="R184">
        <v>0</v>
      </c>
      <c r="S184" t="s">
        <v>116</v>
      </c>
      <c r="T184">
        <v>0</v>
      </c>
      <c r="U184">
        <v>2</v>
      </c>
      <c r="V184">
        <v>1</v>
      </c>
      <c r="W184">
        <v>0</v>
      </c>
      <c r="X184">
        <v>0</v>
      </c>
      <c r="Y184" s="20">
        <f>SUM(Table1[[#This Row],[dty_type_cnt1]:[dty_type_cnt5]])</f>
        <v>3</v>
      </c>
    </row>
    <row r="185" spans="1:25" x14ac:dyDescent="0.25">
      <c r="A185" s="15">
        <v>46105</v>
      </c>
      <c r="B185" t="s">
        <v>430</v>
      </c>
      <c r="C185" t="s">
        <v>153</v>
      </c>
      <c r="D185" t="s">
        <v>46</v>
      </c>
      <c r="E185" t="s">
        <v>139</v>
      </c>
      <c r="F185" t="s">
        <v>140</v>
      </c>
      <c r="G185" t="s">
        <v>154</v>
      </c>
      <c r="H185" t="s">
        <v>155</v>
      </c>
      <c r="J185" t="s">
        <v>171</v>
      </c>
      <c r="K185" t="s">
        <v>45</v>
      </c>
      <c r="L185">
        <v>27471</v>
      </c>
      <c r="M185">
        <v>5</v>
      </c>
      <c r="N185">
        <v>2</v>
      </c>
      <c r="O185">
        <v>236.1</v>
      </c>
      <c r="P185">
        <v>1</v>
      </c>
      <c r="Q185">
        <v>30</v>
      </c>
      <c r="R185">
        <v>2</v>
      </c>
      <c r="S185" t="s">
        <v>116</v>
      </c>
      <c r="T185">
        <v>0</v>
      </c>
      <c r="U185">
        <v>0</v>
      </c>
      <c r="V185">
        <v>0</v>
      </c>
      <c r="W185">
        <v>0</v>
      </c>
      <c r="X185">
        <v>0</v>
      </c>
      <c r="Y185" s="20">
        <f>SUM(Table1[[#This Row],[dty_type_cnt1]:[dty_type_cnt5]])</f>
        <v>0</v>
      </c>
    </row>
    <row r="186" spans="1:25" x14ac:dyDescent="0.25">
      <c r="A186" s="15">
        <v>46105</v>
      </c>
      <c r="B186" t="s">
        <v>430</v>
      </c>
      <c r="C186" t="s">
        <v>153</v>
      </c>
      <c r="D186" t="s">
        <v>262</v>
      </c>
      <c r="E186" t="s">
        <v>407</v>
      </c>
      <c r="F186" t="s">
        <v>408</v>
      </c>
      <c r="G186" t="s">
        <v>154</v>
      </c>
      <c r="H186" t="s">
        <v>155</v>
      </c>
      <c r="J186" t="s">
        <v>171</v>
      </c>
      <c r="K186" t="s">
        <v>45</v>
      </c>
      <c r="L186">
        <v>27471</v>
      </c>
      <c r="M186">
        <v>42</v>
      </c>
      <c r="N186">
        <v>12</v>
      </c>
      <c r="O186">
        <v>894.07500000000005</v>
      </c>
      <c r="P186">
        <v>6</v>
      </c>
      <c r="Q186">
        <v>60</v>
      </c>
      <c r="R186">
        <v>2</v>
      </c>
      <c r="S186" t="s">
        <v>116</v>
      </c>
      <c r="T186">
        <v>2</v>
      </c>
      <c r="U186">
        <v>2</v>
      </c>
      <c r="V186">
        <v>2</v>
      </c>
      <c r="W186">
        <v>0</v>
      </c>
      <c r="X186">
        <v>0</v>
      </c>
      <c r="Y186" s="20">
        <f>SUM(Table1[[#This Row],[dty_type_cnt1]:[dty_type_cnt5]])</f>
        <v>6</v>
      </c>
    </row>
    <row r="187" spans="1:25" x14ac:dyDescent="0.25">
      <c r="A187" s="15">
        <v>46105</v>
      </c>
      <c r="B187" t="s">
        <v>430</v>
      </c>
      <c r="C187" t="s">
        <v>153</v>
      </c>
      <c r="D187" t="s">
        <v>54</v>
      </c>
      <c r="E187" t="s">
        <v>80</v>
      </c>
      <c r="F187" t="s">
        <v>81</v>
      </c>
      <c r="G187" t="s">
        <v>154</v>
      </c>
      <c r="H187" t="s">
        <v>155</v>
      </c>
      <c r="J187" t="s">
        <v>0</v>
      </c>
      <c r="K187" t="s">
        <v>45</v>
      </c>
      <c r="L187">
        <v>27471</v>
      </c>
      <c r="M187">
        <v>39</v>
      </c>
      <c r="N187">
        <v>4</v>
      </c>
      <c r="O187">
        <v>609.21900000000005</v>
      </c>
      <c r="P187">
        <v>2</v>
      </c>
      <c r="Q187">
        <v>30</v>
      </c>
      <c r="R187">
        <v>2</v>
      </c>
      <c r="S187" t="s">
        <v>116</v>
      </c>
      <c r="T187">
        <v>3</v>
      </c>
      <c r="U187">
        <v>1</v>
      </c>
      <c r="V187">
        <v>1</v>
      </c>
      <c r="W187">
        <v>0</v>
      </c>
      <c r="X187">
        <v>0</v>
      </c>
      <c r="Y187" s="20">
        <f>SUM(Table1[[#This Row],[dty_type_cnt1]:[dty_type_cnt5]])</f>
        <v>5</v>
      </c>
    </row>
    <row r="188" spans="1:25" x14ac:dyDescent="0.25">
      <c r="A188" s="15">
        <v>46105</v>
      </c>
      <c r="B188" t="s">
        <v>430</v>
      </c>
      <c r="C188" t="s">
        <v>153</v>
      </c>
      <c r="D188" t="s">
        <v>54</v>
      </c>
      <c r="E188" t="s">
        <v>157</v>
      </c>
      <c r="F188" t="s">
        <v>158</v>
      </c>
      <c r="G188" t="s">
        <v>154</v>
      </c>
      <c r="H188" t="s">
        <v>155</v>
      </c>
      <c r="J188" t="s">
        <v>156</v>
      </c>
      <c r="K188" t="s">
        <v>45</v>
      </c>
      <c r="L188">
        <v>27471</v>
      </c>
      <c r="M188">
        <v>74</v>
      </c>
      <c r="N188">
        <v>16</v>
      </c>
      <c r="O188">
        <v>1093.432</v>
      </c>
      <c r="P188">
        <v>15.25</v>
      </c>
      <c r="Q188">
        <v>12</v>
      </c>
      <c r="R188">
        <v>8</v>
      </c>
      <c r="S188" t="s">
        <v>116</v>
      </c>
      <c r="T188">
        <v>5</v>
      </c>
      <c r="U188">
        <v>5</v>
      </c>
      <c r="V188">
        <v>3</v>
      </c>
      <c r="W188">
        <v>0</v>
      </c>
      <c r="X188">
        <v>0</v>
      </c>
      <c r="Y188" s="20">
        <f>SUM(Table1[[#This Row],[dty_type_cnt1]:[dty_type_cnt5]])</f>
        <v>13</v>
      </c>
    </row>
    <row r="189" spans="1:25" x14ac:dyDescent="0.25">
      <c r="A189" s="15">
        <v>46105</v>
      </c>
      <c r="B189" t="s">
        <v>430</v>
      </c>
      <c r="C189" t="s">
        <v>153</v>
      </c>
      <c r="D189" t="s">
        <v>49</v>
      </c>
      <c r="E189" t="s">
        <v>105</v>
      </c>
      <c r="F189" t="s">
        <v>152</v>
      </c>
      <c r="G189" t="s">
        <v>154</v>
      </c>
      <c r="H189" t="s">
        <v>155</v>
      </c>
      <c r="J189" t="s">
        <v>76</v>
      </c>
      <c r="K189" t="s">
        <v>45</v>
      </c>
      <c r="L189">
        <v>27471</v>
      </c>
      <c r="M189">
        <v>10</v>
      </c>
      <c r="N189">
        <v>2</v>
      </c>
      <c r="O189">
        <v>309.65499999999997</v>
      </c>
      <c r="P189">
        <v>35.5</v>
      </c>
      <c r="Q189">
        <v>150</v>
      </c>
      <c r="R189">
        <v>1</v>
      </c>
      <c r="S189" t="s">
        <v>116</v>
      </c>
      <c r="T189">
        <v>1</v>
      </c>
      <c r="U189">
        <v>1</v>
      </c>
      <c r="V189">
        <v>0</v>
      </c>
      <c r="W189">
        <v>0</v>
      </c>
      <c r="X189">
        <v>0</v>
      </c>
      <c r="Y189" s="20">
        <f>SUM(Table1[[#This Row],[dty_type_cnt1]:[dty_type_cnt5]])</f>
        <v>2</v>
      </c>
    </row>
    <row r="190" spans="1:25" x14ac:dyDescent="0.25">
      <c r="A190" s="15">
        <v>46105</v>
      </c>
      <c r="B190" t="s">
        <v>430</v>
      </c>
      <c r="C190" t="s">
        <v>409</v>
      </c>
      <c r="D190" t="s">
        <v>410</v>
      </c>
      <c r="E190">
        <v>102</v>
      </c>
      <c r="F190" t="s">
        <v>411</v>
      </c>
      <c r="G190" t="s">
        <v>154</v>
      </c>
      <c r="H190" t="s">
        <v>155</v>
      </c>
      <c r="J190" t="s">
        <v>171</v>
      </c>
      <c r="K190" t="s">
        <v>323</v>
      </c>
      <c r="L190">
        <v>27468</v>
      </c>
      <c r="M190">
        <v>20</v>
      </c>
      <c r="N190">
        <v>4</v>
      </c>
      <c r="O190">
        <v>491</v>
      </c>
      <c r="P190">
        <v>20.399999999999999</v>
      </c>
      <c r="Q190">
        <v>60</v>
      </c>
      <c r="R190">
        <v>2</v>
      </c>
      <c r="S190" t="s">
        <v>412</v>
      </c>
      <c r="T190">
        <v>2</v>
      </c>
      <c r="U190">
        <v>0</v>
      </c>
      <c r="V190">
        <v>0</v>
      </c>
      <c r="W190">
        <v>0</v>
      </c>
      <c r="X190">
        <v>0</v>
      </c>
      <c r="Y190" s="20">
        <f>SUM(Table1[[#This Row],[dty_type_cnt1]:[dty_type_cnt5]])</f>
        <v>2</v>
      </c>
    </row>
    <row r="191" spans="1:25" x14ac:dyDescent="0.25">
      <c r="A191" s="15">
        <v>46105</v>
      </c>
      <c r="B191" t="s">
        <v>430</v>
      </c>
      <c r="C191" t="s">
        <v>409</v>
      </c>
      <c r="D191" t="s">
        <v>406</v>
      </c>
      <c r="E191">
        <v>103</v>
      </c>
      <c r="F191" t="s">
        <v>413</v>
      </c>
      <c r="G191" t="s">
        <v>320</v>
      </c>
      <c r="H191" t="s">
        <v>321</v>
      </c>
      <c r="I191" t="s">
        <v>322</v>
      </c>
      <c r="J191" t="s">
        <v>171</v>
      </c>
      <c r="K191" t="s">
        <v>323</v>
      </c>
      <c r="L191">
        <v>27468</v>
      </c>
      <c r="M191">
        <v>28</v>
      </c>
      <c r="N191">
        <v>8</v>
      </c>
      <c r="O191">
        <v>840</v>
      </c>
      <c r="P191">
        <v>83.2</v>
      </c>
      <c r="Q191">
        <v>40</v>
      </c>
      <c r="R191">
        <v>4</v>
      </c>
      <c r="S191" t="s">
        <v>412</v>
      </c>
      <c r="T191">
        <v>4</v>
      </c>
      <c r="U191">
        <v>2</v>
      </c>
      <c r="V191">
        <v>0</v>
      </c>
      <c r="W191">
        <v>0</v>
      </c>
      <c r="X191">
        <v>0</v>
      </c>
      <c r="Y191" s="20">
        <f>SUM(Table1[[#This Row],[dty_type_cnt1]:[dty_type_cnt5]])</f>
        <v>6</v>
      </c>
    </row>
    <row r="192" spans="1:25" x14ac:dyDescent="0.25">
      <c r="A192" s="15">
        <v>46105</v>
      </c>
      <c r="B192" t="s">
        <v>430</v>
      </c>
      <c r="C192" t="s">
        <v>409</v>
      </c>
      <c r="D192" t="s">
        <v>406</v>
      </c>
      <c r="E192">
        <v>104</v>
      </c>
      <c r="F192" t="s">
        <v>414</v>
      </c>
      <c r="G192" t="s">
        <v>320</v>
      </c>
      <c r="H192" t="s">
        <v>321</v>
      </c>
      <c r="I192" t="s">
        <v>322</v>
      </c>
      <c r="J192" t="s">
        <v>171</v>
      </c>
      <c r="K192" t="s">
        <v>323</v>
      </c>
      <c r="L192">
        <v>27468</v>
      </c>
      <c r="M192">
        <v>20</v>
      </c>
      <c r="N192">
        <v>6</v>
      </c>
      <c r="O192">
        <v>593.55600000000004</v>
      </c>
      <c r="P192">
        <v>85.2</v>
      </c>
      <c r="Q192">
        <v>60</v>
      </c>
      <c r="R192">
        <v>3</v>
      </c>
      <c r="S192" t="s">
        <v>412</v>
      </c>
      <c r="T192">
        <v>3</v>
      </c>
      <c r="U192">
        <v>1</v>
      </c>
      <c r="V192">
        <v>0</v>
      </c>
      <c r="W192">
        <v>0</v>
      </c>
      <c r="X192">
        <v>0</v>
      </c>
      <c r="Y192" s="20">
        <f>SUM(Table1[[#This Row],[dty_type_cnt1]:[dty_type_cnt5]])</f>
        <v>4</v>
      </c>
    </row>
    <row r="193" spans="1:25" x14ac:dyDescent="0.25">
      <c r="A193" s="15">
        <v>46105</v>
      </c>
      <c r="B193" t="s">
        <v>430</v>
      </c>
      <c r="C193" t="s">
        <v>409</v>
      </c>
      <c r="D193" t="s">
        <v>410</v>
      </c>
      <c r="E193">
        <v>106</v>
      </c>
      <c r="F193" t="s">
        <v>415</v>
      </c>
      <c r="G193" t="s">
        <v>258</v>
      </c>
      <c r="H193" t="s">
        <v>259</v>
      </c>
      <c r="J193" t="s">
        <v>171</v>
      </c>
      <c r="K193" t="s">
        <v>323</v>
      </c>
      <c r="L193">
        <v>27468</v>
      </c>
      <c r="M193">
        <v>20</v>
      </c>
      <c r="N193">
        <v>4</v>
      </c>
      <c r="O193">
        <v>437.43</v>
      </c>
      <c r="P193">
        <v>25.6</v>
      </c>
      <c r="Q193">
        <v>59</v>
      </c>
      <c r="R193">
        <v>2</v>
      </c>
      <c r="S193" t="s">
        <v>412</v>
      </c>
      <c r="T193">
        <v>2</v>
      </c>
      <c r="U193">
        <v>2</v>
      </c>
      <c r="V193">
        <v>0</v>
      </c>
      <c r="W193">
        <v>0</v>
      </c>
      <c r="X193">
        <v>0</v>
      </c>
      <c r="Y193" s="20">
        <f>SUM(Table1[[#This Row],[dty_type_cnt1]:[dty_type_cnt5]])</f>
        <v>4</v>
      </c>
    </row>
    <row r="194" spans="1:25" x14ac:dyDescent="0.25">
      <c r="A194" s="15">
        <v>46105</v>
      </c>
      <c r="B194" t="s">
        <v>430</v>
      </c>
      <c r="C194" t="s">
        <v>409</v>
      </c>
      <c r="D194" t="s">
        <v>262</v>
      </c>
      <c r="E194">
        <v>107</v>
      </c>
      <c r="F194" t="s">
        <v>416</v>
      </c>
      <c r="G194" t="s">
        <v>320</v>
      </c>
      <c r="H194" t="s">
        <v>321</v>
      </c>
      <c r="I194" t="s">
        <v>322</v>
      </c>
      <c r="J194" t="s">
        <v>171</v>
      </c>
      <c r="K194" t="s">
        <v>323</v>
      </c>
      <c r="L194">
        <v>27468</v>
      </c>
      <c r="M194">
        <v>20</v>
      </c>
      <c r="N194">
        <v>6</v>
      </c>
      <c r="O194">
        <v>665</v>
      </c>
      <c r="P194">
        <v>22.5</v>
      </c>
      <c r="Q194">
        <v>60</v>
      </c>
      <c r="R194">
        <v>3</v>
      </c>
      <c r="S194" t="s">
        <v>412</v>
      </c>
      <c r="T194">
        <v>3</v>
      </c>
      <c r="U194">
        <v>1</v>
      </c>
      <c r="V194">
        <v>0</v>
      </c>
      <c r="W194">
        <v>0</v>
      </c>
      <c r="X194">
        <v>0</v>
      </c>
      <c r="Y194" s="20">
        <f>SUM(Table1[[#This Row],[dty_type_cnt1]:[dty_type_cnt5]])</f>
        <v>4</v>
      </c>
    </row>
    <row r="195" spans="1:25" x14ac:dyDescent="0.25">
      <c r="A195" s="15">
        <v>46105</v>
      </c>
      <c r="B195" t="s">
        <v>430</v>
      </c>
      <c r="C195" t="s">
        <v>409</v>
      </c>
      <c r="D195" t="s">
        <v>410</v>
      </c>
      <c r="E195">
        <v>102</v>
      </c>
      <c r="F195" t="s">
        <v>411</v>
      </c>
      <c r="G195" t="s">
        <v>154</v>
      </c>
      <c r="H195" t="s">
        <v>155</v>
      </c>
      <c r="J195" t="s">
        <v>171</v>
      </c>
      <c r="K195" t="s">
        <v>369</v>
      </c>
      <c r="L195">
        <v>27466</v>
      </c>
      <c r="M195">
        <v>22</v>
      </c>
      <c r="N195">
        <v>4</v>
      </c>
      <c r="O195">
        <v>540.1</v>
      </c>
      <c r="P195">
        <v>20.399999999999999</v>
      </c>
      <c r="Q195">
        <v>60</v>
      </c>
      <c r="R195">
        <v>2</v>
      </c>
      <c r="S195" t="s">
        <v>412</v>
      </c>
      <c r="T195">
        <v>2</v>
      </c>
      <c r="U195">
        <v>1</v>
      </c>
      <c r="V195">
        <v>0</v>
      </c>
      <c r="W195">
        <v>0</v>
      </c>
      <c r="X195">
        <v>0</v>
      </c>
      <c r="Y195" s="20">
        <f>SUM(Table1[[#This Row],[dty_type_cnt1]:[dty_type_cnt5]])</f>
        <v>3</v>
      </c>
    </row>
    <row r="196" spans="1:25" x14ac:dyDescent="0.25">
      <c r="A196" s="15">
        <v>46105</v>
      </c>
      <c r="B196" t="s">
        <v>430</v>
      </c>
      <c r="C196" t="s">
        <v>409</v>
      </c>
      <c r="D196" t="s">
        <v>406</v>
      </c>
      <c r="E196">
        <v>103</v>
      </c>
      <c r="F196" t="s">
        <v>413</v>
      </c>
      <c r="G196" t="s">
        <v>320</v>
      </c>
      <c r="H196" t="s">
        <v>321</v>
      </c>
      <c r="I196" t="s">
        <v>322</v>
      </c>
      <c r="J196" t="s">
        <v>171</v>
      </c>
      <c r="K196" t="s">
        <v>369</v>
      </c>
      <c r="L196">
        <v>27466</v>
      </c>
      <c r="M196">
        <v>32</v>
      </c>
      <c r="N196">
        <v>8</v>
      </c>
      <c r="O196">
        <v>960</v>
      </c>
      <c r="P196">
        <v>83.2</v>
      </c>
      <c r="Q196">
        <v>40</v>
      </c>
      <c r="R196">
        <v>4</v>
      </c>
      <c r="S196" t="s">
        <v>412</v>
      </c>
      <c r="T196">
        <v>4</v>
      </c>
      <c r="U196">
        <v>4</v>
      </c>
      <c r="V196">
        <v>0</v>
      </c>
      <c r="W196">
        <v>0</v>
      </c>
      <c r="X196">
        <v>0</v>
      </c>
      <c r="Y196" s="20">
        <f>SUM(Table1[[#This Row],[dty_type_cnt1]:[dty_type_cnt5]])</f>
        <v>8</v>
      </c>
    </row>
    <row r="197" spans="1:25" x14ac:dyDescent="0.25">
      <c r="A197" s="15">
        <v>46105</v>
      </c>
      <c r="B197" t="s">
        <v>430</v>
      </c>
      <c r="C197" t="s">
        <v>409</v>
      </c>
      <c r="D197" t="s">
        <v>406</v>
      </c>
      <c r="E197">
        <v>104</v>
      </c>
      <c r="F197" t="s">
        <v>414</v>
      </c>
      <c r="G197" t="s">
        <v>320</v>
      </c>
      <c r="H197" t="s">
        <v>321</v>
      </c>
      <c r="I197" t="s">
        <v>322</v>
      </c>
      <c r="J197" t="s">
        <v>171</v>
      </c>
      <c r="K197" t="s">
        <v>369</v>
      </c>
      <c r="L197">
        <v>27466</v>
      </c>
      <c r="M197">
        <v>22</v>
      </c>
      <c r="N197">
        <v>6</v>
      </c>
      <c r="O197">
        <v>652.91200000000003</v>
      </c>
      <c r="P197">
        <v>85.2</v>
      </c>
      <c r="Q197">
        <v>60</v>
      </c>
      <c r="R197">
        <v>3</v>
      </c>
      <c r="S197" t="s">
        <v>412</v>
      </c>
      <c r="T197">
        <v>3</v>
      </c>
      <c r="U197">
        <v>2</v>
      </c>
      <c r="V197">
        <v>0</v>
      </c>
      <c r="W197">
        <v>0</v>
      </c>
      <c r="X197">
        <v>0</v>
      </c>
      <c r="Y197" s="20">
        <f>SUM(Table1[[#This Row],[dty_type_cnt1]:[dty_type_cnt5]])</f>
        <v>5</v>
      </c>
    </row>
    <row r="198" spans="1:25" x14ac:dyDescent="0.25">
      <c r="A198" s="15">
        <v>46105</v>
      </c>
      <c r="B198" t="s">
        <v>430</v>
      </c>
      <c r="C198" t="s">
        <v>409</v>
      </c>
      <c r="D198" t="s">
        <v>410</v>
      </c>
      <c r="E198">
        <v>106</v>
      </c>
      <c r="F198" t="s">
        <v>415</v>
      </c>
      <c r="G198" t="s">
        <v>258</v>
      </c>
      <c r="H198" t="s">
        <v>259</v>
      </c>
      <c r="J198" t="s">
        <v>171</v>
      </c>
      <c r="K198" t="s">
        <v>369</v>
      </c>
      <c r="L198">
        <v>27466</v>
      </c>
      <c r="M198">
        <v>22</v>
      </c>
      <c r="N198">
        <v>4</v>
      </c>
      <c r="O198">
        <v>481.173</v>
      </c>
      <c r="P198">
        <v>25.6</v>
      </c>
      <c r="Q198">
        <v>59</v>
      </c>
      <c r="R198">
        <v>2</v>
      </c>
      <c r="S198" t="s">
        <v>412</v>
      </c>
      <c r="T198">
        <v>2</v>
      </c>
      <c r="U198">
        <v>2</v>
      </c>
      <c r="V198">
        <v>0</v>
      </c>
      <c r="W198">
        <v>0</v>
      </c>
      <c r="X198">
        <v>0</v>
      </c>
      <c r="Y198" s="20">
        <f>SUM(Table1[[#This Row],[dty_type_cnt1]:[dty_type_cnt5]])</f>
        <v>4</v>
      </c>
    </row>
    <row r="199" spans="1:25" x14ac:dyDescent="0.25">
      <c r="A199" s="15">
        <v>46105</v>
      </c>
      <c r="B199" t="s">
        <v>430</v>
      </c>
      <c r="C199" t="s">
        <v>409</v>
      </c>
      <c r="D199" t="s">
        <v>262</v>
      </c>
      <c r="E199">
        <v>107</v>
      </c>
      <c r="F199" t="s">
        <v>416</v>
      </c>
      <c r="G199" t="s">
        <v>320</v>
      </c>
      <c r="H199" t="s">
        <v>321</v>
      </c>
      <c r="I199" t="s">
        <v>322</v>
      </c>
      <c r="J199" t="s">
        <v>171</v>
      </c>
      <c r="K199" t="s">
        <v>369</v>
      </c>
      <c r="L199">
        <v>27466</v>
      </c>
      <c r="M199">
        <v>22</v>
      </c>
      <c r="N199">
        <v>6</v>
      </c>
      <c r="O199">
        <v>731.5</v>
      </c>
      <c r="P199">
        <v>22.5</v>
      </c>
      <c r="Q199">
        <v>60</v>
      </c>
      <c r="R199">
        <v>3</v>
      </c>
      <c r="S199" t="s">
        <v>412</v>
      </c>
      <c r="T199">
        <v>3</v>
      </c>
      <c r="U199">
        <v>2</v>
      </c>
      <c r="V199">
        <v>0</v>
      </c>
      <c r="W199">
        <v>0</v>
      </c>
      <c r="X199">
        <v>0</v>
      </c>
      <c r="Y199" s="20">
        <f>SUM(Table1[[#This Row],[dty_type_cnt1]:[dty_type_cnt5]])</f>
        <v>5</v>
      </c>
    </row>
    <row r="200" spans="1:25" x14ac:dyDescent="0.25">
      <c r="A200" s="15">
        <v>46105</v>
      </c>
      <c r="B200" t="s">
        <v>430</v>
      </c>
      <c r="C200" t="s">
        <v>409</v>
      </c>
      <c r="D200" t="s">
        <v>410</v>
      </c>
      <c r="E200">
        <v>102</v>
      </c>
      <c r="F200" t="s">
        <v>411</v>
      </c>
      <c r="G200" t="s">
        <v>154</v>
      </c>
      <c r="H200" t="s">
        <v>155</v>
      </c>
      <c r="J200" t="s">
        <v>171</v>
      </c>
      <c r="K200" t="s">
        <v>1</v>
      </c>
      <c r="L200">
        <v>27465</v>
      </c>
      <c r="M200">
        <v>22</v>
      </c>
      <c r="N200">
        <v>4</v>
      </c>
      <c r="O200">
        <v>540.1</v>
      </c>
      <c r="P200">
        <v>20.399999999999999</v>
      </c>
      <c r="Q200">
        <v>60</v>
      </c>
      <c r="R200">
        <v>2</v>
      </c>
      <c r="S200" t="s">
        <v>412</v>
      </c>
      <c r="T200">
        <v>2</v>
      </c>
      <c r="U200">
        <v>1</v>
      </c>
      <c r="V200">
        <v>0</v>
      </c>
      <c r="W200">
        <v>0</v>
      </c>
      <c r="X200">
        <v>0</v>
      </c>
      <c r="Y200" s="20">
        <f>SUM(Table1[[#This Row],[dty_type_cnt1]:[dty_type_cnt5]])</f>
        <v>3</v>
      </c>
    </row>
    <row r="201" spans="1:25" x14ac:dyDescent="0.25">
      <c r="A201" s="15">
        <v>46105</v>
      </c>
      <c r="B201" t="s">
        <v>430</v>
      </c>
      <c r="C201" t="s">
        <v>409</v>
      </c>
      <c r="D201" t="s">
        <v>406</v>
      </c>
      <c r="E201">
        <v>103</v>
      </c>
      <c r="F201" t="s">
        <v>413</v>
      </c>
      <c r="G201" t="s">
        <v>320</v>
      </c>
      <c r="H201" t="s">
        <v>321</v>
      </c>
      <c r="I201" t="s">
        <v>322</v>
      </c>
      <c r="J201" t="s">
        <v>171</v>
      </c>
      <c r="K201" t="s">
        <v>1</v>
      </c>
      <c r="L201">
        <v>27465</v>
      </c>
      <c r="M201">
        <v>32</v>
      </c>
      <c r="N201">
        <v>8</v>
      </c>
      <c r="O201">
        <v>960</v>
      </c>
      <c r="P201">
        <v>83.2</v>
      </c>
      <c r="Q201">
        <v>40</v>
      </c>
      <c r="R201">
        <v>4</v>
      </c>
      <c r="S201" t="s">
        <v>412</v>
      </c>
      <c r="T201">
        <v>4</v>
      </c>
      <c r="U201">
        <v>4</v>
      </c>
      <c r="V201">
        <v>0</v>
      </c>
      <c r="W201">
        <v>0</v>
      </c>
      <c r="X201">
        <v>0</v>
      </c>
      <c r="Y201" s="20">
        <f>SUM(Table1[[#This Row],[dty_type_cnt1]:[dty_type_cnt5]])</f>
        <v>8</v>
      </c>
    </row>
    <row r="202" spans="1:25" x14ac:dyDescent="0.25">
      <c r="A202" s="15">
        <v>46105</v>
      </c>
      <c r="B202" t="s">
        <v>430</v>
      </c>
      <c r="C202" t="s">
        <v>409</v>
      </c>
      <c r="D202" t="s">
        <v>406</v>
      </c>
      <c r="E202">
        <v>104</v>
      </c>
      <c r="F202" t="s">
        <v>414</v>
      </c>
      <c r="G202" t="s">
        <v>320</v>
      </c>
      <c r="H202" t="s">
        <v>321</v>
      </c>
      <c r="I202" t="s">
        <v>322</v>
      </c>
      <c r="J202" t="s">
        <v>171</v>
      </c>
      <c r="K202" t="s">
        <v>1</v>
      </c>
      <c r="L202">
        <v>27465</v>
      </c>
      <c r="M202">
        <v>22</v>
      </c>
      <c r="N202">
        <v>6</v>
      </c>
      <c r="O202">
        <v>652.91200000000003</v>
      </c>
      <c r="P202">
        <v>85.2</v>
      </c>
      <c r="Q202">
        <v>60</v>
      </c>
      <c r="R202">
        <v>3</v>
      </c>
      <c r="S202" t="s">
        <v>412</v>
      </c>
      <c r="T202">
        <v>3</v>
      </c>
      <c r="U202">
        <v>2</v>
      </c>
      <c r="V202">
        <v>0</v>
      </c>
      <c r="W202">
        <v>0</v>
      </c>
      <c r="X202">
        <v>0</v>
      </c>
      <c r="Y202" s="20">
        <f>SUM(Table1[[#This Row],[dty_type_cnt1]:[dty_type_cnt5]])</f>
        <v>5</v>
      </c>
    </row>
    <row r="203" spans="1:25" x14ac:dyDescent="0.25">
      <c r="A203" s="15">
        <v>46105</v>
      </c>
      <c r="B203" t="s">
        <v>430</v>
      </c>
      <c r="C203" t="s">
        <v>409</v>
      </c>
      <c r="D203" t="s">
        <v>410</v>
      </c>
      <c r="E203">
        <v>106</v>
      </c>
      <c r="F203" t="s">
        <v>415</v>
      </c>
      <c r="G203" t="s">
        <v>258</v>
      </c>
      <c r="H203" t="s">
        <v>259</v>
      </c>
      <c r="J203" t="s">
        <v>171</v>
      </c>
      <c r="K203" t="s">
        <v>1</v>
      </c>
      <c r="L203">
        <v>27465</v>
      </c>
      <c r="M203">
        <v>22</v>
      </c>
      <c r="N203">
        <v>4</v>
      </c>
      <c r="O203">
        <v>481.173</v>
      </c>
      <c r="P203">
        <v>25.6</v>
      </c>
      <c r="Q203">
        <v>59</v>
      </c>
      <c r="R203">
        <v>2</v>
      </c>
      <c r="S203" t="s">
        <v>412</v>
      </c>
      <c r="T203">
        <v>2</v>
      </c>
      <c r="U203">
        <v>2</v>
      </c>
      <c r="V203">
        <v>0</v>
      </c>
      <c r="W203">
        <v>0</v>
      </c>
      <c r="X203">
        <v>0</v>
      </c>
      <c r="Y203" s="20">
        <f>SUM(Table1[[#This Row],[dty_type_cnt1]:[dty_type_cnt5]])</f>
        <v>4</v>
      </c>
    </row>
    <row r="204" spans="1:25" x14ac:dyDescent="0.25">
      <c r="A204" s="15">
        <v>46105</v>
      </c>
      <c r="B204" t="s">
        <v>430</v>
      </c>
      <c r="C204" t="s">
        <v>409</v>
      </c>
      <c r="D204" t="s">
        <v>262</v>
      </c>
      <c r="E204">
        <v>107</v>
      </c>
      <c r="F204" t="s">
        <v>416</v>
      </c>
      <c r="G204" t="s">
        <v>320</v>
      </c>
      <c r="H204" t="s">
        <v>321</v>
      </c>
      <c r="I204" t="s">
        <v>322</v>
      </c>
      <c r="J204" t="s">
        <v>171</v>
      </c>
      <c r="K204" t="s">
        <v>1</v>
      </c>
      <c r="L204">
        <v>27465</v>
      </c>
      <c r="M204">
        <v>22</v>
      </c>
      <c r="N204">
        <v>6</v>
      </c>
      <c r="O204">
        <v>731.5</v>
      </c>
      <c r="P204">
        <v>22.5</v>
      </c>
      <c r="Q204">
        <v>60</v>
      </c>
      <c r="R204">
        <v>3</v>
      </c>
      <c r="S204" t="s">
        <v>412</v>
      </c>
      <c r="T204">
        <v>3</v>
      </c>
      <c r="U204">
        <v>2</v>
      </c>
      <c r="V204">
        <v>0</v>
      </c>
      <c r="W204">
        <v>0</v>
      </c>
      <c r="X204">
        <v>0</v>
      </c>
      <c r="Y204" s="20">
        <f>SUM(Table1[[#This Row],[dty_type_cnt1]:[dty_type_cnt5]])</f>
        <v>5</v>
      </c>
    </row>
    <row r="205" spans="1:25" x14ac:dyDescent="0.25">
      <c r="A205" s="15">
        <v>46105</v>
      </c>
      <c r="B205" t="s">
        <v>430</v>
      </c>
      <c r="C205" t="s">
        <v>409</v>
      </c>
      <c r="D205" t="s">
        <v>262</v>
      </c>
      <c r="E205">
        <v>108</v>
      </c>
      <c r="F205" t="s">
        <v>417</v>
      </c>
      <c r="G205" t="s">
        <v>320</v>
      </c>
      <c r="H205" t="s">
        <v>321</v>
      </c>
      <c r="I205" t="s">
        <v>322</v>
      </c>
      <c r="J205" t="s">
        <v>171</v>
      </c>
      <c r="K205" t="s">
        <v>1</v>
      </c>
      <c r="L205">
        <v>27465</v>
      </c>
      <c r="M205">
        <v>22</v>
      </c>
      <c r="N205">
        <v>4</v>
      </c>
      <c r="O205">
        <v>587.4</v>
      </c>
      <c r="P205">
        <v>68.599999999999994</v>
      </c>
      <c r="Q205">
        <v>60</v>
      </c>
      <c r="R205">
        <v>2</v>
      </c>
      <c r="S205" t="s">
        <v>412</v>
      </c>
      <c r="T205">
        <v>2</v>
      </c>
      <c r="U205">
        <v>2</v>
      </c>
      <c r="V205">
        <v>0</v>
      </c>
      <c r="W205">
        <v>0</v>
      </c>
      <c r="X205">
        <v>0</v>
      </c>
      <c r="Y205" s="20">
        <f>SUM(Table1[[#This Row],[dty_type_cnt1]:[dty_type_cnt5]])</f>
        <v>4</v>
      </c>
    </row>
    <row r="206" spans="1:25" x14ac:dyDescent="0.25">
      <c r="A206" s="15">
        <v>46105</v>
      </c>
      <c r="B206" t="s">
        <v>430</v>
      </c>
      <c r="C206" t="s">
        <v>409</v>
      </c>
      <c r="D206" t="s">
        <v>410</v>
      </c>
      <c r="E206">
        <v>102</v>
      </c>
      <c r="F206" t="s">
        <v>411</v>
      </c>
      <c r="G206" t="s">
        <v>154</v>
      </c>
      <c r="H206" t="s">
        <v>155</v>
      </c>
      <c r="J206" t="s">
        <v>171</v>
      </c>
      <c r="K206" t="s">
        <v>2</v>
      </c>
      <c r="L206">
        <v>27464</v>
      </c>
      <c r="M206">
        <v>22</v>
      </c>
      <c r="N206">
        <v>4</v>
      </c>
      <c r="O206">
        <v>540.1</v>
      </c>
      <c r="P206">
        <v>20.399999999999999</v>
      </c>
      <c r="Q206">
        <v>60</v>
      </c>
      <c r="R206">
        <v>2</v>
      </c>
      <c r="S206" t="s">
        <v>412</v>
      </c>
      <c r="T206">
        <v>2</v>
      </c>
      <c r="U206">
        <v>1</v>
      </c>
      <c r="V206">
        <v>0</v>
      </c>
      <c r="W206">
        <v>0</v>
      </c>
      <c r="X206">
        <v>0</v>
      </c>
      <c r="Y206" s="20">
        <f>SUM(Table1[[#This Row],[dty_type_cnt1]:[dty_type_cnt5]])</f>
        <v>3</v>
      </c>
    </row>
    <row r="207" spans="1:25" x14ac:dyDescent="0.25">
      <c r="A207" s="15">
        <v>46105</v>
      </c>
      <c r="B207" t="s">
        <v>430</v>
      </c>
      <c r="C207" t="s">
        <v>409</v>
      </c>
      <c r="D207" t="s">
        <v>406</v>
      </c>
      <c r="E207">
        <v>103</v>
      </c>
      <c r="F207" t="s">
        <v>413</v>
      </c>
      <c r="G207" t="s">
        <v>320</v>
      </c>
      <c r="H207" t="s">
        <v>321</v>
      </c>
      <c r="I207" t="s">
        <v>322</v>
      </c>
      <c r="J207" t="s">
        <v>171</v>
      </c>
      <c r="K207" t="s">
        <v>2</v>
      </c>
      <c r="L207">
        <v>27464</v>
      </c>
      <c r="M207">
        <v>32</v>
      </c>
      <c r="N207">
        <v>8</v>
      </c>
      <c r="O207">
        <v>960</v>
      </c>
      <c r="P207">
        <v>83.2</v>
      </c>
      <c r="Q207">
        <v>40</v>
      </c>
      <c r="R207">
        <v>4</v>
      </c>
      <c r="S207" t="s">
        <v>412</v>
      </c>
      <c r="T207">
        <v>4</v>
      </c>
      <c r="U207">
        <v>4</v>
      </c>
      <c r="V207">
        <v>0</v>
      </c>
      <c r="W207">
        <v>0</v>
      </c>
      <c r="X207">
        <v>0</v>
      </c>
      <c r="Y207" s="20">
        <f>SUM(Table1[[#This Row],[dty_type_cnt1]:[dty_type_cnt5]])</f>
        <v>8</v>
      </c>
    </row>
    <row r="208" spans="1:25" x14ac:dyDescent="0.25">
      <c r="A208" s="15">
        <v>46105</v>
      </c>
      <c r="B208" t="s">
        <v>430</v>
      </c>
      <c r="C208" t="s">
        <v>409</v>
      </c>
      <c r="D208" t="s">
        <v>406</v>
      </c>
      <c r="E208">
        <v>104</v>
      </c>
      <c r="F208" t="s">
        <v>414</v>
      </c>
      <c r="G208" t="s">
        <v>320</v>
      </c>
      <c r="H208" t="s">
        <v>321</v>
      </c>
      <c r="I208" t="s">
        <v>322</v>
      </c>
      <c r="J208" t="s">
        <v>171</v>
      </c>
      <c r="K208" t="s">
        <v>2</v>
      </c>
      <c r="L208">
        <v>27464</v>
      </c>
      <c r="M208">
        <v>22</v>
      </c>
      <c r="N208">
        <v>6</v>
      </c>
      <c r="O208">
        <v>652.91200000000003</v>
      </c>
      <c r="P208">
        <v>85.2</v>
      </c>
      <c r="Q208">
        <v>60</v>
      </c>
      <c r="R208">
        <v>3</v>
      </c>
      <c r="S208" t="s">
        <v>412</v>
      </c>
      <c r="T208">
        <v>3</v>
      </c>
      <c r="U208">
        <v>2</v>
      </c>
      <c r="V208">
        <v>0</v>
      </c>
      <c r="W208">
        <v>0</v>
      </c>
      <c r="X208">
        <v>0</v>
      </c>
      <c r="Y208" s="20">
        <f>SUM(Table1[[#This Row],[dty_type_cnt1]:[dty_type_cnt5]])</f>
        <v>5</v>
      </c>
    </row>
    <row r="209" spans="1:25" x14ac:dyDescent="0.25">
      <c r="A209" s="15">
        <v>46105</v>
      </c>
      <c r="B209" t="s">
        <v>430</v>
      </c>
      <c r="C209" t="s">
        <v>409</v>
      </c>
      <c r="D209" t="s">
        <v>410</v>
      </c>
      <c r="E209">
        <v>106</v>
      </c>
      <c r="F209" t="s">
        <v>415</v>
      </c>
      <c r="G209" t="s">
        <v>258</v>
      </c>
      <c r="H209" t="s">
        <v>259</v>
      </c>
      <c r="J209" t="s">
        <v>171</v>
      </c>
      <c r="K209" t="s">
        <v>2</v>
      </c>
      <c r="L209">
        <v>27464</v>
      </c>
      <c r="M209">
        <v>22</v>
      </c>
      <c r="N209">
        <v>4</v>
      </c>
      <c r="O209">
        <v>481.173</v>
      </c>
      <c r="P209">
        <v>25.6</v>
      </c>
      <c r="Q209">
        <v>59</v>
      </c>
      <c r="R209">
        <v>2</v>
      </c>
      <c r="S209" t="s">
        <v>412</v>
      </c>
      <c r="T209">
        <v>2</v>
      </c>
      <c r="U209">
        <v>2</v>
      </c>
      <c r="V209">
        <v>0</v>
      </c>
      <c r="W209">
        <v>0</v>
      </c>
      <c r="X209">
        <v>0</v>
      </c>
      <c r="Y209" s="20">
        <f>SUM(Table1[[#This Row],[dty_type_cnt1]:[dty_type_cnt5]])</f>
        <v>4</v>
      </c>
    </row>
    <row r="210" spans="1:25" x14ac:dyDescent="0.25">
      <c r="A210" s="15">
        <v>46105</v>
      </c>
      <c r="B210" t="s">
        <v>430</v>
      </c>
      <c r="C210" t="s">
        <v>409</v>
      </c>
      <c r="D210" t="s">
        <v>262</v>
      </c>
      <c r="E210">
        <v>107</v>
      </c>
      <c r="F210" t="s">
        <v>416</v>
      </c>
      <c r="G210" t="s">
        <v>320</v>
      </c>
      <c r="H210" t="s">
        <v>321</v>
      </c>
      <c r="I210" t="s">
        <v>322</v>
      </c>
      <c r="J210" t="s">
        <v>171</v>
      </c>
      <c r="K210" t="s">
        <v>2</v>
      </c>
      <c r="L210">
        <v>27464</v>
      </c>
      <c r="M210">
        <v>22</v>
      </c>
      <c r="N210">
        <v>6</v>
      </c>
      <c r="O210">
        <v>731.5</v>
      </c>
      <c r="P210">
        <v>22.5</v>
      </c>
      <c r="Q210">
        <v>60</v>
      </c>
      <c r="R210">
        <v>3</v>
      </c>
      <c r="S210" t="s">
        <v>412</v>
      </c>
      <c r="T210">
        <v>3</v>
      </c>
      <c r="U210">
        <v>2</v>
      </c>
      <c r="V210">
        <v>0</v>
      </c>
      <c r="W210">
        <v>0</v>
      </c>
      <c r="X210">
        <v>0</v>
      </c>
      <c r="Y210" s="20">
        <f>SUM(Table1[[#This Row],[dty_type_cnt1]:[dty_type_cnt5]])</f>
        <v>5</v>
      </c>
    </row>
    <row r="211" spans="1:25" x14ac:dyDescent="0.25">
      <c r="A211" s="15">
        <v>46105</v>
      </c>
      <c r="B211" t="s">
        <v>430</v>
      </c>
      <c r="C211" t="s">
        <v>409</v>
      </c>
      <c r="D211" t="s">
        <v>262</v>
      </c>
      <c r="E211">
        <v>108</v>
      </c>
      <c r="F211" t="s">
        <v>417</v>
      </c>
      <c r="G211" t="s">
        <v>320</v>
      </c>
      <c r="H211" t="s">
        <v>321</v>
      </c>
      <c r="I211" t="s">
        <v>322</v>
      </c>
      <c r="J211" t="s">
        <v>171</v>
      </c>
      <c r="K211" t="s">
        <v>2</v>
      </c>
      <c r="L211">
        <v>27464</v>
      </c>
      <c r="M211">
        <v>22</v>
      </c>
      <c r="N211">
        <v>4</v>
      </c>
      <c r="O211">
        <v>587.4</v>
      </c>
      <c r="P211">
        <v>68.599999999999994</v>
      </c>
      <c r="Q211">
        <v>60</v>
      </c>
      <c r="R211">
        <v>2</v>
      </c>
      <c r="S211" t="s">
        <v>412</v>
      </c>
      <c r="T211">
        <v>2</v>
      </c>
      <c r="U211">
        <v>2</v>
      </c>
      <c r="V211">
        <v>0</v>
      </c>
      <c r="W211">
        <v>0</v>
      </c>
      <c r="X211">
        <v>0</v>
      </c>
      <c r="Y211" s="20">
        <f>SUM(Table1[[#This Row],[dty_type_cnt1]:[dty_type_cnt5]])</f>
        <v>4</v>
      </c>
    </row>
    <row r="212" spans="1:25" x14ac:dyDescent="0.25">
      <c r="A212" s="15">
        <v>46105</v>
      </c>
      <c r="B212" t="s">
        <v>430</v>
      </c>
      <c r="C212" t="s">
        <v>409</v>
      </c>
      <c r="D212" t="s">
        <v>410</v>
      </c>
      <c r="E212">
        <v>102</v>
      </c>
      <c r="F212" t="s">
        <v>411</v>
      </c>
      <c r="G212" t="s">
        <v>154</v>
      </c>
      <c r="H212" t="s">
        <v>155</v>
      </c>
      <c r="J212" t="s">
        <v>171</v>
      </c>
      <c r="K212" t="s">
        <v>45</v>
      </c>
      <c r="L212">
        <v>27467</v>
      </c>
      <c r="M212">
        <v>20</v>
      </c>
      <c r="N212">
        <v>4</v>
      </c>
      <c r="O212">
        <v>491</v>
      </c>
      <c r="P212">
        <v>20.399999999999999</v>
      </c>
      <c r="Q212">
        <v>60</v>
      </c>
      <c r="R212">
        <v>2</v>
      </c>
      <c r="S212" t="s">
        <v>412</v>
      </c>
      <c r="T212">
        <v>2</v>
      </c>
      <c r="U212">
        <v>1</v>
      </c>
      <c r="V212">
        <v>0</v>
      </c>
      <c r="W212">
        <v>0</v>
      </c>
      <c r="X212">
        <v>0</v>
      </c>
      <c r="Y212" s="20">
        <f>SUM(Table1[[#This Row],[dty_type_cnt1]:[dty_type_cnt5]])</f>
        <v>3</v>
      </c>
    </row>
    <row r="213" spans="1:25" x14ac:dyDescent="0.25">
      <c r="A213" s="15">
        <v>46105</v>
      </c>
      <c r="B213" t="s">
        <v>430</v>
      </c>
      <c r="C213" t="s">
        <v>409</v>
      </c>
      <c r="D213" t="s">
        <v>406</v>
      </c>
      <c r="E213">
        <v>103</v>
      </c>
      <c r="F213" t="s">
        <v>413</v>
      </c>
      <c r="G213" t="s">
        <v>320</v>
      </c>
      <c r="H213" t="s">
        <v>321</v>
      </c>
      <c r="I213" t="s">
        <v>322</v>
      </c>
      <c r="J213" t="s">
        <v>171</v>
      </c>
      <c r="K213" t="s">
        <v>45</v>
      </c>
      <c r="L213">
        <v>27467</v>
      </c>
      <c r="M213">
        <v>28</v>
      </c>
      <c r="N213">
        <v>8</v>
      </c>
      <c r="O213">
        <v>840</v>
      </c>
      <c r="P213">
        <v>83.2</v>
      </c>
      <c r="Q213">
        <v>40</v>
      </c>
      <c r="R213">
        <v>4</v>
      </c>
      <c r="S213" t="s">
        <v>412</v>
      </c>
      <c r="T213">
        <v>4</v>
      </c>
      <c r="U213">
        <v>2</v>
      </c>
      <c r="V213">
        <v>0</v>
      </c>
      <c r="W213">
        <v>0</v>
      </c>
      <c r="X213">
        <v>0</v>
      </c>
      <c r="Y213" s="20">
        <f>SUM(Table1[[#This Row],[dty_type_cnt1]:[dty_type_cnt5]])</f>
        <v>6</v>
      </c>
    </row>
    <row r="214" spans="1:25" x14ac:dyDescent="0.25">
      <c r="A214" s="15">
        <v>46106</v>
      </c>
      <c r="B214" t="s">
        <v>430</v>
      </c>
      <c r="C214" t="s">
        <v>409</v>
      </c>
      <c r="D214" t="s">
        <v>406</v>
      </c>
      <c r="E214">
        <v>104</v>
      </c>
      <c r="F214" t="s">
        <v>414</v>
      </c>
      <c r="G214" t="s">
        <v>320</v>
      </c>
      <c r="H214" t="s">
        <v>321</v>
      </c>
      <c r="I214" t="s">
        <v>322</v>
      </c>
      <c r="J214" t="s">
        <v>171</v>
      </c>
      <c r="K214" t="s">
        <v>45</v>
      </c>
      <c r="L214">
        <v>27467</v>
      </c>
      <c r="M214">
        <v>20</v>
      </c>
      <c r="N214">
        <v>6</v>
      </c>
      <c r="O214">
        <v>593.55600000000004</v>
      </c>
      <c r="P214">
        <v>85.2</v>
      </c>
      <c r="Q214">
        <v>60</v>
      </c>
      <c r="R214">
        <v>3</v>
      </c>
      <c r="S214" t="s">
        <v>412</v>
      </c>
      <c r="T214">
        <v>3</v>
      </c>
      <c r="U214">
        <v>2</v>
      </c>
      <c r="V214">
        <v>0</v>
      </c>
      <c r="W214">
        <v>0</v>
      </c>
      <c r="X214">
        <v>0</v>
      </c>
      <c r="Y214" s="20">
        <f>SUM(Table1[[#This Row],[dty_type_cnt1]:[dty_type_cnt5]])</f>
        <v>5</v>
      </c>
    </row>
    <row r="215" spans="1:25" x14ac:dyDescent="0.25">
      <c r="A215" s="15">
        <v>46106</v>
      </c>
      <c r="B215" t="s">
        <v>430</v>
      </c>
      <c r="C215" t="s">
        <v>409</v>
      </c>
      <c r="D215" t="s">
        <v>410</v>
      </c>
      <c r="E215">
        <v>106</v>
      </c>
      <c r="F215" t="s">
        <v>415</v>
      </c>
      <c r="G215" t="s">
        <v>258</v>
      </c>
      <c r="H215" t="s">
        <v>259</v>
      </c>
      <c r="J215" t="s">
        <v>171</v>
      </c>
      <c r="K215" t="s">
        <v>45</v>
      </c>
      <c r="L215">
        <v>27467</v>
      </c>
      <c r="M215">
        <v>20</v>
      </c>
      <c r="N215">
        <v>4</v>
      </c>
      <c r="O215">
        <v>437.43</v>
      </c>
      <c r="P215">
        <v>25.6</v>
      </c>
      <c r="Q215">
        <v>59</v>
      </c>
      <c r="R215">
        <v>2</v>
      </c>
      <c r="S215" t="s">
        <v>412</v>
      </c>
      <c r="T215">
        <v>2</v>
      </c>
      <c r="U215">
        <v>2</v>
      </c>
      <c r="V215">
        <v>0</v>
      </c>
      <c r="W215">
        <v>0</v>
      </c>
      <c r="X215">
        <v>0</v>
      </c>
      <c r="Y215" s="20">
        <f>SUM(Table1[[#This Row],[dty_type_cnt1]:[dty_type_cnt5]])</f>
        <v>4</v>
      </c>
    </row>
    <row r="216" spans="1:25" x14ac:dyDescent="0.25">
      <c r="A216" s="15">
        <v>46106</v>
      </c>
      <c r="B216" t="s">
        <v>430</v>
      </c>
      <c r="C216" t="s">
        <v>409</v>
      </c>
      <c r="D216" t="s">
        <v>262</v>
      </c>
      <c r="E216">
        <v>107</v>
      </c>
      <c r="F216" t="s">
        <v>416</v>
      </c>
      <c r="G216" t="s">
        <v>320</v>
      </c>
      <c r="H216" t="s">
        <v>321</v>
      </c>
      <c r="I216" t="s">
        <v>322</v>
      </c>
      <c r="J216" t="s">
        <v>171</v>
      </c>
      <c r="K216" t="s">
        <v>45</v>
      </c>
      <c r="L216">
        <v>27467</v>
      </c>
      <c r="M216">
        <v>20</v>
      </c>
      <c r="N216">
        <v>6</v>
      </c>
      <c r="O216">
        <v>665</v>
      </c>
      <c r="P216">
        <v>22.5</v>
      </c>
      <c r="Q216">
        <v>60</v>
      </c>
      <c r="R216">
        <v>3</v>
      </c>
      <c r="S216" t="s">
        <v>412</v>
      </c>
      <c r="T216">
        <v>3</v>
      </c>
      <c r="U216">
        <v>2</v>
      </c>
      <c r="V216">
        <v>0</v>
      </c>
      <c r="W216">
        <v>0</v>
      </c>
      <c r="X216">
        <v>0</v>
      </c>
      <c r="Y216" s="20">
        <f>SUM(Table1[[#This Row],[dty_type_cnt1]:[dty_type_cnt5]])</f>
        <v>5</v>
      </c>
    </row>
    <row r="217" spans="1:25" x14ac:dyDescent="0.25">
      <c r="A217" s="15">
        <v>46106</v>
      </c>
      <c r="B217" t="s">
        <v>430</v>
      </c>
      <c r="C217" t="s">
        <v>409</v>
      </c>
      <c r="D217" t="s">
        <v>262</v>
      </c>
      <c r="E217">
        <v>108</v>
      </c>
      <c r="F217" t="s">
        <v>417</v>
      </c>
      <c r="G217" t="s">
        <v>320</v>
      </c>
      <c r="H217" t="s">
        <v>321</v>
      </c>
      <c r="I217" t="s">
        <v>322</v>
      </c>
      <c r="J217" t="s">
        <v>171</v>
      </c>
      <c r="K217" t="s">
        <v>45</v>
      </c>
      <c r="L217">
        <v>27467</v>
      </c>
      <c r="M217">
        <v>22</v>
      </c>
      <c r="N217">
        <v>4</v>
      </c>
      <c r="O217">
        <v>587.4</v>
      </c>
      <c r="P217">
        <v>68.599999999999994</v>
      </c>
      <c r="Q217">
        <v>60</v>
      </c>
      <c r="R217">
        <v>2</v>
      </c>
      <c r="S217" t="s">
        <v>412</v>
      </c>
      <c r="T217">
        <v>2</v>
      </c>
      <c r="U217">
        <v>2</v>
      </c>
      <c r="V217">
        <v>0</v>
      </c>
      <c r="W217">
        <v>0</v>
      </c>
      <c r="X217">
        <v>0</v>
      </c>
      <c r="Y217" s="20">
        <f>SUM(Table1[[#This Row],[dty_type_cnt1]:[dty_type_cnt5]])</f>
        <v>4</v>
      </c>
    </row>
    <row r="218" spans="1:25" x14ac:dyDescent="0.25">
      <c r="A218" s="15">
        <v>46106</v>
      </c>
      <c r="B218" t="s">
        <v>430</v>
      </c>
      <c r="C218" t="s">
        <v>159</v>
      </c>
      <c r="D218" t="s">
        <v>46</v>
      </c>
      <c r="E218">
        <v>8</v>
      </c>
      <c r="F218" t="s">
        <v>61</v>
      </c>
      <c r="G218" t="s">
        <v>160</v>
      </c>
      <c r="H218" t="s">
        <v>161</v>
      </c>
      <c r="I218" t="s">
        <v>160</v>
      </c>
      <c r="J218" t="s">
        <v>0</v>
      </c>
      <c r="K218" t="s">
        <v>1</v>
      </c>
      <c r="L218">
        <v>27461</v>
      </c>
      <c r="M218">
        <v>55</v>
      </c>
      <c r="N218">
        <v>16</v>
      </c>
      <c r="O218">
        <v>2061.6689999999999</v>
      </c>
      <c r="P218">
        <v>270</v>
      </c>
      <c r="Q218">
        <v>20</v>
      </c>
      <c r="R218">
        <v>8</v>
      </c>
      <c r="S218" t="s">
        <v>116</v>
      </c>
      <c r="T218">
        <v>7</v>
      </c>
      <c r="U218">
        <v>8</v>
      </c>
      <c r="V218">
        <v>0</v>
      </c>
      <c r="W218">
        <v>0</v>
      </c>
      <c r="X218">
        <v>0</v>
      </c>
      <c r="Y218" s="20">
        <f>SUM(Table1[[#This Row],[dty_type_cnt1]:[dty_type_cnt5]])</f>
        <v>15</v>
      </c>
    </row>
    <row r="219" spans="1:25" x14ac:dyDescent="0.25">
      <c r="A219" s="15">
        <v>46106</v>
      </c>
      <c r="B219" t="s">
        <v>430</v>
      </c>
      <c r="C219" t="s">
        <v>159</v>
      </c>
      <c r="D219" t="s">
        <v>46</v>
      </c>
      <c r="E219">
        <v>56</v>
      </c>
      <c r="F219" t="s">
        <v>162</v>
      </c>
      <c r="G219" t="s">
        <v>160</v>
      </c>
      <c r="H219" t="s">
        <v>161</v>
      </c>
      <c r="I219" t="s">
        <v>160</v>
      </c>
      <c r="J219" t="s">
        <v>156</v>
      </c>
      <c r="K219" t="s">
        <v>1</v>
      </c>
      <c r="L219">
        <v>27461</v>
      </c>
      <c r="M219">
        <v>14</v>
      </c>
      <c r="N219">
        <v>2</v>
      </c>
      <c r="O219">
        <v>420.483</v>
      </c>
      <c r="P219">
        <v>49.1</v>
      </c>
      <c r="Q219">
        <v>117</v>
      </c>
      <c r="R219">
        <v>1</v>
      </c>
      <c r="S219" t="s">
        <v>116</v>
      </c>
      <c r="T219">
        <v>1</v>
      </c>
      <c r="U219">
        <v>1</v>
      </c>
      <c r="V219">
        <v>0</v>
      </c>
      <c r="W219">
        <v>0</v>
      </c>
      <c r="X219">
        <v>0</v>
      </c>
      <c r="Y219" s="20">
        <f>SUM(Table1[[#This Row],[dty_type_cnt1]:[dty_type_cnt5]])</f>
        <v>2</v>
      </c>
    </row>
    <row r="220" spans="1:25" x14ac:dyDescent="0.25">
      <c r="A220" s="15">
        <v>46106</v>
      </c>
      <c r="B220" t="s">
        <v>430</v>
      </c>
      <c r="C220" t="s">
        <v>159</v>
      </c>
      <c r="D220" t="s">
        <v>46</v>
      </c>
      <c r="E220">
        <v>83</v>
      </c>
      <c r="F220" t="s">
        <v>163</v>
      </c>
      <c r="G220" t="s">
        <v>160</v>
      </c>
      <c r="H220" t="s">
        <v>161</v>
      </c>
      <c r="I220" t="s">
        <v>160</v>
      </c>
      <c r="J220" t="s">
        <v>0</v>
      </c>
      <c r="K220" t="s">
        <v>1</v>
      </c>
      <c r="L220">
        <v>27461</v>
      </c>
      <c r="M220">
        <v>6</v>
      </c>
      <c r="N220">
        <v>4</v>
      </c>
      <c r="O220">
        <v>212.41</v>
      </c>
      <c r="P220">
        <v>37.5</v>
      </c>
      <c r="Q220">
        <v>45</v>
      </c>
      <c r="R220">
        <v>1</v>
      </c>
      <c r="S220" t="s">
        <v>116</v>
      </c>
      <c r="T220">
        <v>1</v>
      </c>
      <c r="U220">
        <v>1</v>
      </c>
      <c r="V220">
        <v>0</v>
      </c>
      <c r="W220">
        <v>0</v>
      </c>
      <c r="X220">
        <v>0</v>
      </c>
      <c r="Y220" s="20">
        <f>SUM(Table1[[#This Row],[dty_type_cnt1]:[dty_type_cnt5]])</f>
        <v>2</v>
      </c>
    </row>
    <row r="221" spans="1:25" x14ac:dyDescent="0.25">
      <c r="A221" s="15">
        <v>46106</v>
      </c>
      <c r="B221" t="s">
        <v>430</v>
      </c>
      <c r="C221" t="s">
        <v>159</v>
      </c>
      <c r="D221" t="s">
        <v>46</v>
      </c>
      <c r="E221">
        <v>84</v>
      </c>
      <c r="F221" t="s">
        <v>164</v>
      </c>
      <c r="G221" t="s">
        <v>160</v>
      </c>
      <c r="H221" t="s">
        <v>161</v>
      </c>
      <c r="I221" t="s">
        <v>160</v>
      </c>
      <c r="J221" t="s">
        <v>156</v>
      </c>
      <c r="K221" t="s">
        <v>1</v>
      </c>
      <c r="L221">
        <v>27461</v>
      </c>
      <c r="M221">
        <v>32</v>
      </c>
      <c r="N221">
        <v>8</v>
      </c>
      <c r="O221">
        <v>713.78899999999999</v>
      </c>
      <c r="P221">
        <v>106.9</v>
      </c>
      <c r="Q221">
        <v>20</v>
      </c>
      <c r="R221">
        <v>4</v>
      </c>
      <c r="S221" t="s">
        <v>116</v>
      </c>
      <c r="T221">
        <v>4</v>
      </c>
      <c r="U221">
        <v>4</v>
      </c>
      <c r="V221">
        <v>0</v>
      </c>
      <c r="W221">
        <v>0</v>
      </c>
      <c r="X221">
        <v>0</v>
      </c>
      <c r="Y221" s="20">
        <f>SUM(Table1[[#This Row],[dty_type_cnt1]:[dty_type_cnt5]])</f>
        <v>8</v>
      </c>
    </row>
    <row r="222" spans="1:25" x14ac:dyDescent="0.25">
      <c r="A222" s="15">
        <v>46106</v>
      </c>
      <c r="B222" t="s">
        <v>430</v>
      </c>
      <c r="C222" t="s">
        <v>159</v>
      </c>
      <c r="D222" t="s">
        <v>46</v>
      </c>
      <c r="E222">
        <v>88</v>
      </c>
      <c r="F222" t="s">
        <v>119</v>
      </c>
      <c r="G222" t="s">
        <v>160</v>
      </c>
      <c r="H222" t="s">
        <v>161</v>
      </c>
      <c r="I222" t="s">
        <v>160</v>
      </c>
      <c r="J222" t="s">
        <v>0</v>
      </c>
      <c r="K222" t="s">
        <v>1</v>
      </c>
      <c r="L222">
        <v>27461</v>
      </c>
      <c r="M222">
        <v>31</v>
      </c>
      <c r="N222">
        <v>8</v>
      </c>
      <c r="O222">
        <v>957.33199999999999</v>
      </c>
      <c r="P222">
        <v>172.9</v>
      </c>
      <c r="Q222">
        <v>30</v>
      </c>
      <c r="R222">
        <v>4</v>
      </c>
      <c r="S222" t="s">
        <v>116</v>
      </c>
      <c r="T222">
        <v>4</v>
      </c>
      <c r="U222">
        <v>4</v>
      </c>
      <c r="V222">
        <v>0</v>
      </c>
      <c r="W222">
        <v>0</v>
      </c>
      <c r="X222">
        <v>0</v>
      </c>
      <c r="Y222" s="20">
        <f>SUM(Table1[[#This Row],[dty_type_cnt1]:[dty_type_cnt5]])</f>
        <v>8</v>
      </c>
    </row>
    <row r="223" spans="1:25" x14ac:dyDescent="0.25">
      <c r="A223" s="15">
        <v>46106</v>
      </c>
      <c r="B223" t="s">
        <v>430</v>
      </c>
      <c r="C223" t="s">
        <v>159</v>
      </c>
      <c r="D223" t="s">
        <v>46</v>
      </c>
      <c r="E223" t="s">
        <v>165</v>
      </c>
      <c r="F223" t="s">
        <v>166</v>
      </c>
      <c r="G223" t="s">
        <v>160</v>
      </c>
      <c r="H223" t="s">
        <v>161</v>
      </c>
      <c r="I223" t="s">
        <v>160</v>
      </c>
      <c r="J223" t="s">
        <v>63</v>
      </c>
      <c r="K223" t="s">
        <v>1</v>
      </c>
      <c r="L223">
        <v>27461</v>
      </c>
      <c r="M223">
        <v>36</v>
      </c>
      <c r="N223">
        <v>12</v>
      </c>
      <c r="O223">
        <v>1092.1289999999999</v>
      </c>
      <c r="P223">
        <v>191.6</v>
      </c>
      <c r="Q223">
        <v>40</v>
      </c>
      <c r="R223">
        <v>4</v>
      </c>
      <c r="S223" t="s">
        <v>116</v>
      </c>
      <c r="T223">
        <v>4</v>
      </c>
      <c r="U223">
        <v>2</v>
      </c>
      <c r="V223">
        <v>1</v>
      </c>
      <c r="W223">
        <v>0</v>
      </c>
      <c r="X223">
        <v>0</v>
      </c>
      <c r="Y223" s="20">
        <f>SUM(Table1[[#This Row],[dty_type_cnt1]:[dty_type_cnt5]])</f>
        <v>7</v>
      </c>
    </row>
    <row r="224" spans="1:25" x14ac:dyDescent="0.25">
      <c r="A224" s="15">
        <v>46106</v>
      </c>
      <c r="B224" t="s">
        <v>430</v>
      </c>
      <c r="C224" t="s">
        <v>159</v>
      </c>
      <c r="D224" t="s">
        <v>46</v>
      </c>
      <c r="E224">
        <v>96</v>
      </c>
      <c r="F224" t="s">
        <v>167</v>
      </c>
      <c r="G224" t="s">
        <v>160</v>
      </c>
      <c r="H224" t="s">
        <v>161</v>
      </c>
      <c r="I224" t="s">
        <v>160</v>
      </c>
      <c r="J224" t="s">
        <v>156</v>
      </c>
      <c r="K224" t="s">
        <v>1</v>
      </c>
      <c r="L224">
        <v>27461</v>
      </c>
      <c r="M224">
        <v>30</v>
      </c>
      <c r="N224">
        <v>8</v>
      </c>
      <c r="O224">
        <v>1504.992</v>
      </c>
      <c r="P224">
        <v>68.8</v>
      </c>
      <c r="Q224">
        <v>25</v>
      </c>
      <c r="R224">
        <v>4</v>
      </c>
      <c r="S224" t="s">
        <v>116</v>
      </c>
      <c r="T224">
        <v>4</v>
      </c>
      <c r="U224">
        <v>3</v>
      </c>
      <c r="V224">
        <v>1</v>
      </c>
      <c r="W224">
        <v>0</v>
      </c>
      <c r="X224">
        <v>0</v>
      </c>
      <c r="Y224" s="20">
        <f>SUM(Table1[[#This Row],[dty_type_cnt1]:[dty_type_cnt5]])</f>
        <v>8</v>
      </c>
    </row>
    <row r="225" spans="1:25" x14ac:dyDescent="0.25">
      <c r="A225" s="15">
        <v>46106</v>
      </c>
      <c r="B225" t="s">
        <v>430</v>
      </c>
      <c r="C225" t="s">
        <v>159</v>
      </c>
      <c r="D225" t="s">
        <v>46</v>
      </c>
      <c r="E225">
        <v>99</v>
      </c>
      <c r="F225" t="s">
        <v>168</v>
      </c>
      <c r="G225" t="s">
        <v>160</v>
      </c>
      <c r="H225" t="s">
        <v>161</v>
      </c>
      <c r="I225" t="s">
        <v>160</v>
      </c>
      <c r="J225" t="s">
        <v>63</v>
      </c>
      <c r="K225" t="s">
        <v>1</v>
      </c>
      <c r="L225">
        <v>27461</v>
      </c>
      <c r="M225">
        <v>44</v>
      </c>
      <c r="N225">
        <v>4</v>
      </c>
      <c r="O225">
        <v>382.44799999999998</v>
      </c>
      <c r="P225">
        <v>69.349999999999994</v>
      </c>
      <c r="Q225">
        <v>60</v>
      </c>
      <c r="R225">
        <v>2</v>
      </c>
      <c r="S225" t="s">
        <v>116</v>
      </c>
      <c r="T225">
        <v>2</v>
      </c>
      <c r="U225">
        <v>1</v>
      </c>
      <c r="V225">
        <v>0</v>
      </c>
      <c r="W225">
        <v>0</v>
      </c>
      <c r="X225">
        <v>0</v>
      </c>
      <c r="Y225" s="20">
        <f>SUM(Table1[[#This Row],[dty_type_cnt1]:[dty_type_cnt5]])</f>
        <v>3</v>
      </c>
    </row>
    <row r="226" spans="1:25" x14ac:dyDescent="0.25">
      <c r="A226" s="15">
        <v>46106</v>
      </c>
      <c r="B226" t="s">
        <v>430</v>
      </c>
      <c r="C226" t="s">
        <v>159</v>
      </c>
      <c r="D226" t="s">
        <v>55</v>
      </c>
      <c r="E226" t="s">
        <v>169</v>
      </c>
      <c r="F226" t="s">
        <v>170</v>
      </c>
      <c r="G226" t="s">
        <v>160</v>
      </c>
      <c r="H226" t="s">
        <v>161</v>
      </c>
      <c r="I226" t="s">
        <v>160</v>
      </c>
      <c r="J226" t="s">
        <v>171</v>
      </c>
      <c r="K226" t="s">
        <v>1</v>
      </c>
      <c r="L226">
        <v>27461</v>
      </c>
      <c r="M226">
        <v>9</v>
      </c>
      <c r="N226">
        <v>10</v>
      </c>
      <c r="O226">
        <v>386.43900000000002</v>
      </c>
      <c r="P226">
        <v>58.48</v>
      </c>
      <c r="Q226">
        <v>120</v>
      </c>
      <c r="R226">
        <v>1</v>
      </c>
      <c r="S226" t="s">
        <v>116</v>
      </c>
      <c r="T226">
        <v>1</v>
      </c>
      <c r="U226">
        <v>1</v>
      </c>
      <c r="V226">
        <v>0</v>
      </c>
      <c r="W226">
        <v>0</v>
      </c>
      <c r="X226">
        <v>0</v>
      </c>
      <c r="Y226" s="20">
        <f>SUM(Table1[[#This Row],[dty_type_cnt1]:[dty_type_cnt5]])</f>
        <v>2</v>
      </c>
    </row>
    <row r="227" spans="1:25" x14ac:dyDescent="0.25">
      <c r="A227" s="15">
        <v>46106</v>
      </c>
      <c r="B227" t="s">
        <v>430</v>
      </c>
      <c r="C227" t="s">
        <v>159</v>
      </c>
      <c r="D227" t="s">
        <v>55</v>
      </c>
      <c r="E227" t="s">
        <v>172</v>
      </c>
      <c r="F227" t="s">
        <v>173</v>
      </c>
      <c r="G227" t="s">
        <v>160</v>
      </c>
      <c r="H227" t="s">
        <v>161</v>
      </c>
      <c r="I227" t="s">
        <v>160</v>
      </c>
      <c r="J227" t="s">
        <v>0</v>
      </c>
      <c r="K227" t="s">
        <v>1</v>
      </c>
      <c r="L227">
        <v>27461</v>
      </c>
      <c r="M227">
        <v>26</v>
      </c>
      <c r="N227">
        <v>2</v>
      </c>
      <c r="O227">
        <v>657.56899999999996</v>
      </c>
      <c r="P227">
        <v>0.2</v>
      </c>
      <c r="Q227">
        <v>75</v>
      </c>
      <c r="R227">
        <v>1</v>
      </c>
      <c r="S227" t="s">
        <v>116</v>
      </c>
      <c r="T227">
        <v>1</v>
      </c>
      <c r="U227">
        <v>1</v>
      </c>
      <c r="V227">
        <v>0</v>
      </c>
      <c r="W227">
        <v>0</v>
      </c>
      <c r="X227">
        <v>0</v>
      </c>
      <c r="Y227" s="20">
        <f>SUM(Table1[[#This Row],[dty_type_cnt1]:[dty_type_cnt5]])</f>
        <v>2</v>
      </c>
    </row>
    <row r="228" spans="1:25" x14ac:dyDescent="0.25">
      <c r="A228" s="15">
        <v>46106</v>
      </c>
      <c r="B228" t="s">
        <v>430</v>
      </c>
      <c r="C228" t="s">
        <v>159</v>
      </c>
      <c r="D228" t="s">
        <v>55</v>
      </c>
      <c r="E228" t="s">
        <v>174</v>
      </c>
      <c r="F228" t="s">
        <v>175</v>
      </c>
      <c r="G228" t="s">
        <v>160</v>
      </c>
      <c r="H228" t="s">
        <v>161</v>
      </c>
      <c r="I228" t="s">
        <v>160</v>
      </c>
      <c r="J228" t="s">
        <v>156</v>
      </c>
      <c r="K228" t="s">
        <v>1</v>
      </c>
      <c r="L228">
        <v>27461</v>
      </c>
      <c r="M228">
        <v>13</v>
      </c>
      <c r="N228">
        <v>2</v>
      </c>
      <c r="O228">
        <v>526.90300000000002</v>
      </c>
      <c r="P228">
        <v>21.7</v>
      </c>
      <c r="Q228">
        <v>90</v>
      </c>
      <c r="R228">
        <v>1</v>
      </c>
      <c r="S228" t="s">
        <v>116</v>
      </c>
      <c r="T228">
        <v>2</v>
      </c>
      <c r="U228">
        <v>0</v>
      </c>
      <c r="V228">
        <v>1</v>
      </c>
      <c r="W228">
        <v>0</v>
      </c>
      <c r="X228">
        <v>0</v>
      </c>
      <c r="Y228" s="20">
        <f>SUM(Table1[[#This Row],[dty_type_cnt1]:[dty_type_cnt5]])</f>
        <v>3</v>
      </c>
    </row>
    <row r="229" spans="1:25" x14ac:dyDescent="0.25">
      <c r="A229" s="15">
        <v>46106</v>
      </c>
      <c r="B229" t="s">
        <v>430</v>
      </c>
      <c r="C229" t="s">
        <v>159</v>
      </c>
      <c r="D229" t="s">
        <v>176</v>
      </c>
      <c r="E229" t="s">
        <v>177</v>
      </c>
      <c r="F229" t="s">
        <v>178</v>
      </c>
      <c r="G229" t="s">
        <v>160</v>
      </c>
      <c r="H229" t="s">
        <v>161</v>
      </c>
      <c r="I229" t="s">
        <v>160</v>
      </c>
      <c r="J229" t="s">
        <v>171</v>
      </c>
      <c r="K229" t="s">
        <v>1</v>
      </c>
      <c r="L229">
        <v>27461</v>
      </c>
      <c r="M229">
        <v>109</v>
      </c>
      <c r="N229">
        <v>26</v>
      </c>
      <c r="O229">
        <v>12749.794</v>
      </c>
      <c r="P229">
        <v>772.6</v>
      </c>
      <c r="Q229">
        <v>20</v>
      </c>
      <c r="R229">
        <v>13</v>
      </c>
      <c r="S229" t="s">
        <v>116</v>
      </c>
      <c r="T229">
        <v>16</v>
      </c>
      <c r="U229">
        <v>10</v>
      </c>
      <c r="V229">
        <v>5</v>
      </c>
      <c r="W229">
        <v>0</v>
      </c>
      <c r="X229">
        <v>0</v>
      </c>
      <c r="Y229" s="20">
        <f>SUM(Table1[[#This Row],[dty_type_cnt1]:[dty_type_cnt5]])</f>
        <v>31</v>
      </c>
    </row>
    <row r="230" spans="1:25" x14ac:dyDescent="0.25">
      <c r="A230" s="15">
        <v>46106</v>
      </c>
      <c r="B230" t="s">
        <v>430</v>
      </c>
      <c r="C230" t="s">
        <v>159</v>
      </c>
      <c r="D230" t="s">
        <v>54</v>
      </c>
      <c r="E230" t="s">
        <v>179</v>
      </c>
      <c r="F230" t="s">
        <v>180</v>
      </c>
      <c r="G230" t="s">
        <v>160</v>
      </c>
      <c r="H230" t="s">
        <v>161</v>
      </c>
      <c r="I230" t="s">
        <v>160</v>
      </c>
      <c r="J230" t="s">
        <v>156</v>
      </c>
      <c r="K230" t="s">
        <v>1</v>
      </c>
      <c r="L230">
        <v>27461</v>
      </c>
      <c r="M230">
        <v>34</v>
      </c>
      <c r="N230">
        <v>6</v>
      </c>
      <c r="O230">
        <v>766.95299999999997</v>
      </c>
      <c r="P230">
        <v>106.2</v>
      </c>
      <c r="Q230">
        <v>30</v>
      </c>
      <c r="R230">
        <v>3</v>
      </c>
      <c r="S230" t="s">
        <v>116</v>
      </c>
      <c r="T230">
        <v>4</v>
      </c>
      <c r="U230">
        <v>1</v>
      </c>
      <c r="V230">
        <v>2</v>
      </c>
      <c r="W230">
        <v>0</v>
      </c>
      <c r="X230">
        <v>0</v>
      </c>
      <c r="Y230" s="20">
        <f>SUM(Table1[[#This Row],[dty_type_cnt1]:[dty_type_cnt5]])</f>
        <v>7</v>
      </c>
    </row>
    <row r="231" spans="1:25" x14ac:dyDescent="0.25">
      <c r="A231" s="15">
        <v>46106</v>
      </c>
      <c r="B231" t="s">
        <v>430</v>
      </c>
      <c r="C231" t="s">
        <v>159</v>
      </c>
      <c r="D231" t="s">
        <v>54</v>
      </c>
      <c r="E231" t="s">
        <v>181</v>
      </c>
      <c r="F231" t="s">
        <v>182</v>
      </c>
      <c r="G231" t="s">
        <v>160</v>
      </c>
      <c r="H231" t="s">
        <v>161</v>
      </c>
      <c r="I231" t="s">
        <v>160</v>
      </c>
      <c r="J231" t="s">
        <v>156</v>
      </c>
      <c r="K231" t="s">
        <v>1</v>
      </c>
      <c r="L231">
        <v>27461</v>
      </c>
      <c r="M231">
        <v>58</v>
      </c>
      <c r="N231">
        <v>10</v>
      </c>
      <c r="O231">
        <v>1269.45</v>
      </c>
      <c r="P231">
        <v>113.2</v>
      </c>
      <c r="Q231">
        <v>20</v>
      </c>
      <c r="R231">
        <v>4</v>
      </c>
      <c r="S231" t="s">
        <v>116</v>
      </c>
      <c r="T231">
        <v>4</v>
      </c>
      <c r="U231">
        <v>4</v>
      </c>
      <c r="V231">
        <v>0</v>
      </c>
      <c r="W231">
        <v>0</v>
      </c>
      <c r="X231">
        <v>0</v>
      </c>
      <c r="Y231" s="20">
        <f>SUM(Table1[[#This Row],[dty_type_cnt1]:[dty_type_cnt5]])</f>
        <v>8</v>
      </c>
    </row>
    <row r="232" spans="1:25" x14ac:dyDescent="0.25">
      <c r="A232" s="15">
        <v>46106</v>
      </c>
      <c r="B232" t="s">
        <v>430</v>
      </c>
      <c r="C232" t="s">
        <v>159</v>
      </c>
      <c r="D232" t="s">
        <v>54</v>
      </c>
      <c r="E232" t="s">
        <v>183</v>
      </c>
      <c r="F232" t="s">
        <v>184</v>
      </c>
      <c r="G232" t="s">
        <v>160</v>
      </c>
      <c r="H232" t="s">
        <v>161</v>
      </c>
      <c r="I232" t="s">
        <v>160</v>
      </c>
      <c r="J232" t="s">
        <v>156</v>
      </c>
      <c r="K232" t="s">
        <v>1</v>
      </c>
      <c r="L232">
        <v>27461</v>
      </c>
      <c r="M232">
        <v>48</v>
      </c>
      <c r="N232">
        <v>8</v>
      </c>
      <c r="O232">
        <v>1429.3440000000001</v>
      </c>
      <c r="P232">
        <v>42</v>
      </c>
      <c r="Q232">
        <v>20</v>
      </c>
      <c r="R232">
        <v>4</v>
      </c>
      <c r="S232" t="s">
        <v>116</v>
      </c>
      <c r="T232">
        <v>4</v>
      </c>
      <c r="U232">
        <v>2</v>
      </c>
      <c r="V232">
        <v>2</v>
      </c>
      <c r="W232">
        <v>0</v>
      </c>
      <c r="X232">
        <v>0</v>
      </c>
      <c r="Y232" s="20">
        <f>SUM(Table1[[#This Row],[dty_type_cnt1]:[dty_type_cnt5]])</f>
        <v>8</v>
      </c>
    </row>
    <row r="233" spans="1:25" x14ac:dyDescent="0.25">
      <c r="A233" s="15">
        <v>46106</v>
      </c>
      <c r="B233" t="s">
        <v>430</v>
      </c>
      <c r="C233" t="s">
        <v>159</v>
      </c>
      <c r="D233" t="s">
        <v>54</v>
      </c>
      <c r="E233" t="s">
        <v>185</v>
      </c>
      <c r="F233" t="s">
        <v>186</v>
      </c>
      <c r="G233" t="s">
        <v>160</v>
      </c>
      <c r="H233" t="s">
        <v>161</v>
      </c>
      <c r="I233" t="s">
        <v>160</v>
      </c>
      <c r="J233" t="s">
        <v>0</v>
      </c>
      <c r="K233" t="s">
        <v>1</v>
      </c>
      <c r="L233">
        <v>27461</v>
      </c>
      <c r="M233">
        <v>60</v>
      </c>
      <c r="N233">
        <v>9</v>
      </c>
      <c r="O233">
        <v>775.20500000000004</v>
      </c>
      <c r="P233">
        <v>31.6</v>
      </c>
      <c r="Q233">
        <v>20</v>
      </c>
      <c r="R233">
        <v>3</v>
      </c>
      <c r="S233" t="s">
        <v>116</v>
      </c>
      <c r="T233">
        <v>3</v>
      </c>
      <c r="U233">
        <v>3</v>
      </c>
      <c r="V233">
        <v>0</v>
      </c>
      <c r="W233">
        <v>0</v>
      </c>
      <c r="X233">
        <v>0</v>
      </c>
      <c r="Y233" s="20">
        <f>SUM(Table1[[#This Row],[dty_type_cnt1]:[dty_type_cnt5]])</f>
        <v>6</v>
      </c>
    </row>
    <row r="234" spans="1:25" x14ac:dyDescent="0.25">
      <c r="A234" s="15">
        <v>46106</v>
      </c>
      <c r="B234" t="s">
        <v>430</v>
      </c>
      <c r="C234" t="s">
        <v>159</v>
      </c>
      <c r="D234" t="s">
        <v>54</v>
      </c>
      <c r="E234" t="s">
        <v>187</v>
      </c>
      <c r="F234" t="s">
        <v>188</v>
      </c>
      <c r="G234" t="s">
        <v>160</v>
      </c>
      <c r="H234" t="s">
        <v>161</v>
      </c>
      <c r="I234" t="s">
        <v>160</v>
      </c>
      <c r="J234" t="s">
        <v>0</v>
      </c>
      <c r="K234" t="s">
        <v>1</v>
      </c>
      <c r="L234">
        <v>27461</v>
      </c>
      <c r="M234">
        <v>51</v>
      </c>
      <c r="N234">
        <v>6</v>
      </c>
      <c r="O234">
        <v>1090.501</v>
      </c>
      <c r="P234">
        <v>23.6</v>
      </c>
      <c r="Q234">
        <v>20</v>
      </c>
      <c r="R234">
        <v>3</v>
      </c>
      <c r="S234" t="s">
        <v>116</v>
      </c>
      <c r="T234">
        <v>4</v>
      </c>
      <c r="U234">
        <v>2</v>
      </c>
      <c r="V234">
        <v>2</v>
      </c>
      <c r="W234">
        <v>0</v>
      </c>
      <c r="X234">
        <v>0</v>
      </c>
      <c r="Y234" s="20">
        <f>SUM(Table1[[#This Row],[dty_type_cnt1]:[dty_type_cnt5]])</f>
        <v>8</v>
      </c>
    </row>
    <row r="235" spans="1:25" x14ac:dyDescent="0.25">
      <c r="A235" s="15">
        <v>46106</v>
      </c>
      <c r="B235" t="s">
        <v>430</v>
      </c>
      <c r="C235" t="s">
        <v>159</v>
      </c>
      <c r="D235" t="s">
        <v>54</v>
      </c>
      <c r="E235" t="s">
        <v>189</v>
      </c>
      <c r="F235" t="s">
        <v>190</v>
      </c>
      <c r="G235" t="s">
        <v>160</v>
      </c>
      <c r="H235" t="s">
        <v>161</v>
      </c>
      <c r="I235" t="s">
        <v>160</v>
      </c>
      <c r="J235" t="s">
        <v>63</v>
      </c>
      <c r="K235" t="s">
        <v>1</v>
      </c>
      <c r="L235">
        <v>27461</v>
      </c>
      <c r="M235">
        <v>34</v>
      </c>
      <c r="N235">
        <v>6</v>
      </c>
      <c r="O235">
        <v>327.20499999999998</v>
      </c>
      <c r="P235">
        <v>35.200000000000003</v>
      </c>
      <c r="Q235">
        <v>25</v>
      </c>
      <c r="R235">
        <v>2</v>
      </c>
      <c r="S235" t="s">
        <v>116</v>
      </c>
      <c r="T235">
        <v>2</v>
      </c>
      <c r="U235">
        <v>1</v>
      </c>
      <c r="V235">
        <v>1</v>
      </c>
      <c r="W235">
        <v>0</v>
      </c>
      <c r="X235">
        <v>0</v>
      </c>
      <c r="Y235" s="20">
        <f>SUM(Table1[[#This Row],[dty_type_cnt1]:[dty_type_cnt5]])</f>
        <v>4</v>
      </c>
    </row>
    <row r="236" spans="1:25" x14ac:dyDescent="0.25">
      <c r="A236" s="15">
        <v>46106</v>
      </c>
      <c r="B236" t="s">
        <v>430</v>
      </c>
      <c r="C236" t="s">
        <v>159</v>
      </c>
      <c r="D236" t="s">
        <v>54</v>
      </c>
      <c r="E236" t="s">
        <v>191</v>
      </c>
      <c r="F236" t="s">
        <v>192</v>
      </c>
      <c r="G236" t="s">
        <v>160</v>
      </c>
      <c r="H236" t="s">
        <v>161</v>
      </c>
      <c r="I236" t="s">
        <v>160</v>
      </c>
      <c r="J236" t="s">
        <v>0</v>
      </c>
      <c r="K236" t="s">
        <v>1</v>
      </c>
      <c r="L236">
        <v>27461</v>
      </c>
      <c r="M236">
        <v>108</v>
      </c>
      <c r="N236">
        <v>26</v>
      </c>
      <c r="O236">
        <v>2402.46</v>
      </c>
      <c r="P236">
        <v>310.3</v>
      </c>
      <c r="Q236">
        <v>20</v>
      </c>
      <c r="R236">
        <v>9</v>
      </c>
      <c r="S236" t="s">
        <v>116</v>
      </c>
      <c r="T236">
        <v>9</v>
      </c>
      <c r="U236">
        <v>6</v>
      </c>
      <c r="V236">
        <v>4</v>
      </c>
      <c r="W236">
        <v>0</v>
      </c>
      <c r="X236">
        <v>0</v>
      </c>
      <c r="Y236" s="20">
        <f>SUM(Table1[[#This Row],[dty_type_cnt1]:[dty_type_cnt5]])</f>
        <v>19</v>
      </c>
    </row>
    <row r="237" spans="1:25" x14ac:dyDescent="0.25">
      <c r="A237" s="15">
        <v>46106</v>
      </c>
      <c r="B237" t="s">
        <v>430</v>
      </c>
      <c r="C237" t="s">
        <v>159</v>
      </c>
      <c r="D237" t="s">
        <v>54</v>
      </c>
      <c r="E237" t="s">
        <v>193</v>
      </c>
      <c r="F237" t="s">
        <v>194</v>
      </c>
      <c r="G237" t="s">
        <v>160</v>
      </c>
      <c r="H237" t="s">
        <v>161</v>
      </c>
      <c r="I237" t="s">
        <v>160</v>
      </c>
      <c r="J237" t="s">
        <v>156</v>
      </c>
      <c r="K237" t="s">
        <v>1</v>
      </c>
      <c r="L237">
        <v>27461</v>
      </c>
      <c r="M237">
        <v>90</v>
      </c>
      <c r="N237">
        <v>18</v>
      </c>
      <c r="O237">
        <v>2068.2289999999998</v>
      </c>
      <c r="P237">
        <v>145.1</v>
      </c>
      <c r="Q237">
        <v>25</v>
      </c>
      <c r="R237">
        <v>7</v>
      </c>
      <c r="S237" t="s">
        <v>116</v>
      </c>
      <c r="T237">
        <v>8</v>
      </c>
      <c r="U237">
        <v>6</v>
      </c>
      <c r="V237">
        <v>2</v>
      </c>
      <c r="W237">
        <v>0</v>
      </c>
      <c r="X237">
        <v>0</v>
      </c>
      <c r="Y237" s="20">
        <f>SUM(Table1[[#This Row],[dty_type_cnt1]:[dty_type_cnt5]])</f>
        <v>16</v>
      </c>
    </row>
    <row r="238" spans="1:25" x14ac:dyDescent="0.25">
      <c r="A238" s="15">
        <v>46106</v>
      </c>
      <c r="B238" t="s">
        <v>430</v>
      </c>
      <c r="C238" t="s">
        <v>159</v>
      </c>
      <c r="D238" t="s">
        <v>54</v>
      </c>
      <c r="E238" t="s">
        <v>195</v>
      </c>
      <c r="F238" t="s">
        <v>196</v>
      </c>
      <c r="G238" t="s">
        <v>160</v>
      </c>
      <c r="H238" t="s">
        <v>161</v>
      </c>
      <c r="I238" t="s">
        <v>160</v>
      </c>
      <c r="J238" t="s">
        <v>156</v>
      </c>
      <c r="K238" t="s">
        <v>1</v>
      </c>
      <c r="L238">
        <v>27461</v>
      </c>
      <c r="M238">
        <v>98</v>
      </c>
      <c r="N238">
        <v>16</v>
      </c>
      <c r="O238">
        <v>2586.1759999999999</v>
      </c>
      <c r="P238">
        <v>185.4</v>
      </c>
      <c r="Q238">
        <v>20</v>
      </c>
      <c r="R238">
        <v>7</v>
      </c>
      <c r="S238" t="s">
        <v>116</v>
      </c>
      <c r="T238">
        <v>9</v>
      </c>
      <c r="U238">
        <v>6</v>
      </c>
      <c r="V238">
        <v>4</v>
      </c>
      <c r="W238">
        <v>0</v>
      </c>
      <c r="X238">
        <v>0</v>
      </c>
      <c r="Y238" s="20">
        <f>SUM(Table1[[#This Row],[dty_type_cnt1]:[dty_type_cnt5]])</f>
        <v>19</v>
      </c>
    </row>
    <row r="239" spans="1:25" x14ac:dyDescent="0.25">
      <c r="A239" s="15">
        <v>46106</v>
      </c>
      <c r="B239" t="s">
        <v>430</v>
      </c>
      <c r="C239" t="s">
        <v>159</v>
      </c>
      <c r="D239" t="s">
        <v>54</v>
      </c>
      <c r="E239" t="s">
        <v>197</v>
      </c>
      <c r="F239" t="s">
        <v>198</v>
      </c>
      <c r="G239" t="s">
        <v>160</v>
      </c>
      <c r="H239" t="s">
        <v>161</v>
      </c>
      <c r="I239" t="s">
        <v>160</v>
      </c>
      <c r="J239" t="s">
        <v>156</v>
      </c>
      <c r="K239" t="s">
        <v>1</v>
      </c>
      <c r="L239">
        <v>27461</v>
      </c>
      <c r="M239">
        <v>58</v>
      </c>
      <c r="N239">
        <v>12</v>
      </c>
      <c r="O239">
        <v>2038.9469999999999</v>
      </c>
      <c r="P239">
        <v>108.78</v>
      </c>
      <c r="Q239">
        <v>20</v>
      </c>
      <c r="R239">
        <v>6</v>
      </c>
      <c r="S239" t="s">
        <v>116</v>
      </c>
      <c r="T239">
        <v>6</v>
      </c>
      <c r="U239">
        <v>5</v>
      </c>
      <c r="V239">
        <v>2</v>
      </c>
      <c r="W239">
        <v>0</v>
      </c>
      <c r="X239">
        <v>0</v>
      </c>
      <c r="Y239" s="20">
        <f>SUM(Table1[[#This Row],[dty_type_cnt1]:[dty_type_cnt5]])</f>
        <v>13</v>
      </c>
    </row>
    <row r="240" spans="1:25" x14ac:dyDescent="0.25">
      <c r="A240" s="15">
        <v>46106</v>
      </c>
      <c r="B240" t="s">
        <v>430</v>
      </c>
      <c r="C240" t="s">
        <v>159</v>
      </c>
      <c r="D240" t="s">
        <v>54</v>
      </c>
      <c r="E240" t="s">
        <v>199</v>
      </c>
      <c r="F240" t="s">
        <v>200</v>
      </c>
      <c r="G240" t="s">
        <v>160</v>
      </c>
      <c r="H240" t="s">
        <v>161</v>
      </c>
      <c r="I240" t="s">
        <v>160</v>
      </c>
      <c r="J240" t="s">
        <v>156</v>
      </c>
      <c r="K240" t="s">
        <v>1</v>
      </c>
      <c r="L240">
        <v>27461</v>
      </c>
      <c r="M240">
        <v>43</v>
      </c>
      <c r="N240">
        <v>10</v>
      </c>
      <c r="O240">
        <v>1218.9670000000001</v>
      </c>
      <c r="P240">
        <v>76.900000000000006</v>
      </c>
      <c r="Q240">
        <v>25</v>
      </c>
      <c r="R240">
        <v>4</v>
      </c>
      <c r="S240" t="s">
        <v>116</v>
      </c>
      <c r="T240">
        <v>5</v>
      </c>
      <c r="U240">
        <v>3</v>
      </c>
      <c r="V240">
        <v>2</v>
      </c>
      <c r="W240">
        <v>0</v>
      </c>
      <c r="X240">
        <v>0</v>
      </c>
      <c r="Y240" s="20">
        <f>SUM(Table1[[#This Row],[dty_type_cnt1]:[dty_type_cnt5]])</f>
        <v>10</v>
      </c>
    </row>
    <row r="241" spans="1:25" x14ac:dyDescent="0.25">
      <c r="A241" s="15">
        <v>46106</v>
      </c>
      <c r="B241" t="s">
        <v>430</v>
      </c>
      <c r="C241" t="s">
        <v>159</v>
      </c>
      <c r="D241" t="s">
        <v>54</v>
      </c>
      <c r="E241" t="s">
        <v>201</v>
      </c>
      <c r="F241" t="s">
        <v>202</v>
      </c>
      <c r="G241" t="s">
        <v>160</v>
      </c>
      <c r="H241" t="s">
        <v>161</v>
      </c>
      <c r="I241" t="s">
        <v>160</v>
      </c>
      <c r="J241" t="s">
        <v>156</v>
      </c>
      <c r="K241" t="s">
        <v>1</v>
      </c>
      <c r="L241">
        <v>27461</v>
      </c>
      <c r="M241">
        <v>39</v>
      </c>
      <c r="N241">
        <v>4</v>
      </c>
      <c r="O241">
        <v>530.91600000000005</v>
      </c>
      <c r="P241">
        <v>26.3</v>
      </c>
      <c r="Q241">
        <v>25</v>
      </c>
      <c r="R241">
        <v>2</v>
      </c>
      <c r="S241" t="s">
        <v>116</v>
      </c>
      <c r="T241">
        <v>2</v>
      </c>
      <c r="U241">
        <v>1</v>
      </c>
      <c r="V241">
        <v>1</v>
      </c>
      <c r="W241">
        <v>0</v>
      </c>
      <c r="X241">
        <v>0</v>
      </c>
      <c r="Y241" s="20">
        <f>SUM(Table1[[#This Row],[dty_type_cnt1]:[dty_type_cnt5]])</f>
        <v>4</v>
      </c>
    </row>
    <row r="242" spans="1:25" x14ac:dyDescent="0.25">
      <c r="A242" s="15">
        <v>46106</v>
      </c>
      <c r="B242" t="s">
        <v>430</v>
      </c>
      <c r="C242" t="s">
        <v>159</v>
      </c>
      <c r="D242" t="s">
        <v>54</v>
      </c>
      <c r="E242" t="s">
        <v>203</v>
      </c>
      <c r="F242" t="s">
        <v>204</v>
      </c>
      <c r="G242" t="s">
        <v>160</v>
      </c>
      <c r="H242" t="s">
        <v>161</v>
      </c>
      <c r="I242" t="s">
        <v>160</v>
      </c>
      <c r="J242" t="s">
        <v>156</v>
      </c>
      <c r="K242" t="s">
        <v>1</v>
      </c>
      <c r="L242">
        <v>27461</v>
      </c>
      <c r="M242">
        <v>51</v>
      </c>
      <c r="N242">
        <v>14</v>
      </c>
      <c r="O242">
        <v>2491.6729999999998</v>
      </c>
      <c r="P242">
        <v>276.60000000000002</v>
      </c>
      <c r="Q242">
        <v>30</v>
      </c>
      <c r="R242">
        <v>5</v>
      </c>
      <c r="S242" t="s">
        <v>116</v>
      </c>
      <c r="T242">
        <v>6</v>
      </c>
      <c r="U242">
        <v>1</v>
      </c>
      <c r="V242">
        <v>2</v>
      </c>
      <c r="W242">
        <v>0</v>
      </c>
      <c r="X242">
        <v>0</v>
      </c>
      <c r="Y242" s="20">
        <f>SUM(Table1[[#This Row],[dty_type_cnt1]:[dty_type_cnt5]])</f>
        <v>9</v>
      </c>
    </row>
    <row r="243" spans="1:25" x14ac:dyDescent="0.25">
      <c r="A243" s="15">
        <v>46106</v>
      </c>
      <c r="B243" t="s">
        <v>430</v>
      </c>
      <c r="C243" t="s">
        <v>159</v>
      </c>
      <c r="D243" t="s">
        <v>54</v>
      </c>
      <c r="E243" t="s">
        <v>205</v>
      </c>
      <c r="F243" t="s">
        <v>206</v>
      </c>
      <c r="G243" t="s">
        <v>160</v>
      </c>
      <c r="H243" t="s">
        <v>161</v>
      </c>
      <c r="I243" t="s">
        <v>160</v>
      </c>
      <c r="J243" t="s">
        <v>156</v>
      </c>
      <c r="K243" t="s">
        <v>1</v>
      </c>
      <c r="L243">
        <v>27461</v>
      </c>
      <c r="M243">
        <v>38</v>
      </c>
      <c r="N243">
        <v>10</v>
      </c>
      <c r="O243">
        <v>2146.8679999999999</v>
      </c>
      <c r="P243">
        <v>126.57</v>
      </c>
      <c r="Q243">
        <v>30</v>
      </c>
      <c r="R243">
        <v>4</v>
      </c>
      <c r="S243" t="s">
        <v>116</v>
      </c>
      <c r="T243">
        <v>7</v>
      </c>
      <c r="U243">
        <v>2</v>
      </c>
      <c r="V243">
        <v>3</v>
      </c>
      <c r="W243">
        <v>0</v>
      </c>
      <c r="X243">
        <v>0</v>
      </c>
      <c r="Y243" s="20">
        <f>SUM(Table1[[#This Row],[dty_type_cnt1]:[dty_type_cnt5]])</f>
        <v>12</v>
      </c>
    </row>
    <row r="244" spans="1:25" x14ac:dyDescent="0.25">
      <c r="A244" s="15">
        <v>46106</v>
      </c>
      <c r="B244" t="s">
        <v>430</v>
      </c>
      <c r="C244" t="s">
        <v>159</v>
      </c>
      <c r="D244" t="s">
        <v>54</v>
      </c>
      <c r="E244" t="s">
        <v>207</v>
      </c>
      <c r="F244" t="s">
        <v>208</v>
      </c>
      <c r="G244" t="s">
        <v>160</v>
      </c>
      <c r="H244" t="s">
        <v>161</v>
      </c>
      <c r="I244" t="s">
        <v>160</v>
      </c>
      <c r="J244" t="s">
        <v>156</v>
      </c>
      <c r="K244" t="s">
        <v>1</v>
      </c>
      <c r="L244">
        <v>27461</v>
      </c>
      <c r="M244">
        <v>76</v>
      </c>
      <c r="N244">
        <v>8</v>
      </c>
      <c r="O244">
        <v>2057.4340000000002</v>
      </c>
      <c r="P244">
        <v>185.8</v>
      </c>
      <c r="Q244">
        <v>30</v>
      </c>
      <c r="R244">
        <v>4</v>
      </c>
      <c r="S244" t="s">
        <v>116</v>
      </c>
      <c r="T244">
        <v>6</v>
      </c>
      <c r="U244">
        <v>2</v>
      </c>
      <c r="V244">
        <v>2</v>
      </c>
      <c r="W244">
        <v>0</v>
      </c>
      <c r="X244">
        <v>0</v>
      </c>
      <c r="Y244" s="20">
        <f>SUM(Table1[[#This Row],[dty_type_cnt1]:[dty_type_cnt5]])</f>
        <v>10</v>
      </c>
    </row>
    <row r="245" spans="1:25" x14ac:dyDescent="0.25">
      <c r="A245" s="15">
        <v>46106</v>
      </c>
      <c r="B245" t="s">
        <v>430</v>
      </c>
      <c r="C245" t="s">
        <v>159</v>
      </c>
      <c r="D245" t="s">
        <v>54</v>
      </c>
      <c r="E245" t="s">
        <v>209</v>
      </c>
      <c r="F245" t="s">
        <v>210</v>
      </c>
      <c r="G245" t="s">
        <v>160</v>
      </c>
      <c r="H245" t="s">
        <v>161</v>
      </c>
      <c r="I245" t="s">
        <v>160</v>
      </c>
      <c r="J245" t="s">
        <v>156</v>
      </c>
      <c r="K245" t="s">
        <v>1</v>
      </c>
      <c r="L245">
        <v>27461</v>
      </c>
      <c r="M245">
        <v>27</v>
      </c>
      <c r="N245">
        <v>2</v>
      </c>
      <c r="O245">
        <v>296.81400000000002</v>
      </c>
      <c r="P245">
        <v>15.2</v>
      </c>
      <c r="Q245">
        <v>35</v>
      </c>
      <c r="R245">
        <v>1</v>
      </c>
      <c r="S245" t="s">
        <v>116</v>
      </c>
      <c r="T245">
        <v>1</v>
      </c>
      <c r="U245">
        <v>1</v>
      </c>
      <c r="V245">
        <v>0</v>
      </c>
      <c r="W245">
        <v>0</v>
      </c>
      <c r="X245">
        <v>0</v>
      </c>
      <c r="Y245" s="20">
        <f>SUM(Table1[[#This Row],[dty_type_cnt1]:[dty_type_cnt5]])</f>
        <v>2</v>
      </c>
    </row>
    <row r="246" spans="1:25" x14ac:dyDescent="0.25">
      <c r="A246" s="15">
        <v>46106</v>
      </c>
      <c r="B246" t="s">
        <v>430</v>
      </c>
      <c r="C246" t="s">
        <v>159</v>
      </c>
      <c r="D246" t="s">
        <v>54</v>
      </c>
      <c r="E246" t="s">
        <v>211</v>
      </c>
      <c r="F246" t="s">
        <v>212</v>
      </c>
      <c r="G246" t="s">
        <v>160</v>
      </c>
      <c r="H246" t="s">
        <v>161</v>
      </c>
      <c r="I246" t="s">
        <v>160</v>
      </c>
      <c r="J246" t="s">
        <v>63</v>
      </c>
      <c r="K246" t="s">
        <v>1</v>
      </c>
      <c r="L246">
        <v>27461</v>
      </c>
      <c r="M246">
        <v>39</v>
      </c>
      <c r="N246">
        <v>2</v>
      </c>
      <c r="O246">
        <v>159.78299999999999</v>
      </c>
      <c r="P246">
        <v>19.3</v>
      </c>
      <c r="Q246">
        <v>30</v>
      </c>
      <c r="R246">
        <v>1</v>
      </c>
      <c r="S246" t="s">
        <v>116</v>
      </c>
      <c r="T246">
        <v>2</v>
      </c>
      <c r="U246">
        <v>0</v>
      </c>
      <c r="V246">
        <v>1</v>
      </c>
      <c r="W246">
        <v>0</v>
      </c>
      <c r="X246">
        <v>0</v>
      </c>
      <c r="Y246" s="20">
        <f>SUM(Table1[[#This Row],[dty_type_cnt1]:[dty_type_cnt5]])</f>
        <v>3</v>
      </c>
    </row>
    <row r="247" spans="1:25" x14ac:dyDescent="0.25">
      <c r="A247" s="15">
        <v>46106</v>
      </c>
      <c r="B247" t="s">
        <v>430</v>
      </c>
      <c r="C247" t="s">
        <v>159</v>
      </c>
      <c r="D247" t="s">
        <v>54</v>
      </c>
      <c r="E247" t="s">
        <v>213</v>
      </c>
      <c r="F247" t="s">
        <v>214</v>
      </c>
      <c r="G247" t="s">
        <v>160</v>
      </c>
      <c r="H247" t="s">
        <v>161</v>
      </c>
      <c r="I247" t="s">
        <v>160</v>
      </c>
      <c r="J247" t="s">
        <v>63</v>
      </c>
      <c r="K247" t="s">
        <v>1</v>
      </c>
      <c r="L247">
        <v>27461</v>
      </c>
      <c r="M247">
        <v>39</v>
      </c>
      <c r="N247">
        <v>2</v>
      </c>
      <c r="O247">
        <v>119.80800000000001</v>
      </c>
      <c r="P247">
        <v>37.9</v>
      </c>
      <c r="Q247">
        <v>30</v>
      </c>
      <c r="R247">
        <v>1</v>
      </c>
      <c r="S247" t="s">
        <v>116</v>
      </c>
      <c r="T247">
        <v>2</v>
      </c>
      <c r="U247">
        <v>0</v>
      </c>
      <c r="V247">
        <v>1</v>
      </c>
      <c r="W247">
        <v>0</v>
      </c>
      <c r="X247">
        <v>0</v>
      </c>
      <c r="Y247" s="20">
        <f>SUM(Table1[[#This Row],[dty_type_cnt1]:[dty_type_cnt5]])</f>
        <v>3</v>
      </c>
    </row>
    <row r="248" spans="1:25" x14ac:dyDescent="0.25">
      <c r="A248" s="15">
        <v>46106</v>
      </c>
      <c r="B248" t="s">
        <v>430</v>
      </c>
      <c r="C248" t="s">
        <v>159</v>
      </c>
      <c r="D248" t="s">
        <v>46</v>
      </c>
      <c r="E248" t="s">
        <v>215</v>
      </c>
      <c r="F248" t="s">
        <v>216</v>
      </c>
      <c r="G248" t="s">
        <v>160</v>
      </c>
      <c r="H248" t="s">
        <v>161</v>
      </c>
      <c r="I248" t="s">
        <v>160</v>
      </c>
      <c r="J248" t="s">
        <v>0</v>
      </c>
      <c r="K248" t="s">
        <v>1</v>
      </c>
      <c r="L248">
        <v>27461</v>
      </c>
      <c r="M248">
        <v>37</v>
      </c>
      <c r="N248">
        <v>8</v>
      </c>
      <c r="O248">
        <v>1125.096</v>
      </c>
      <c r="P248">
        <v>76.09</v>
      </c>
      <c r="Q248">
        <v>30</v>
      </c>
      <c r="R248">
        <v>4</v>
      </c>
      <c r="S248" t="s">
        <v>116</v>
      </c>
      <c r="T248">
        <v>5</v>
      </c>
      <c r="U248">
        <v>3</v>
      </c>
      <c r="V248">
        <v>1</v>
      </c>
      <c r="W248">
        <v>0</v>
      </c>
      <c r="X248">
        <v>0</v>
      </c>
      <c r="Y248" s="20">
        <f>SUM(Table1[[#This Row],[dty_type_cnt1]:[dty_type_cnt5]])</f>
        <v>9</v>
      </c>
    </row>
    <row r="249" spans="1:25" x14ac:dyDescent="0.25">
      <c r="A249" s="15">
        <v>46106</v>
      </c>
      <c r="B249" t="s">
        <v>430</v>
      </c>
      <c r="C249" t="s">
        <v>159</v>
      </c>
      <c r="D249" t="s">
        <v>46</v>
      </c>
      <c r="E249" t="s">
        <v>217</v>
      </c>
      <c r="F249" t="s">
        <v>218</v>
      </c>
      <c r="G249" t="s">
        <v>160</v>
      </c>
      <c r="H249" t="s">
        <v>161</v>
      </c>
      <c r="I249" t="s">
        <v>160</v>
      </c>
      <c r="J249" t="s">
        <v>0</v>
      </c>
      <c r="K249" t="s">
        <v>1</v>
      </c>
      <c r="L249">
        <v>27461</v>
      </c>
      <c r="M249">
        <v>18</v>
      </c>
      <c r="N249">
        <v>2</v>
      </c>
      <c r="O249">
        <v>247.33799999999999</v>
      </c>
      <c r="P249">
        <v>40.299999999999997</v>
      </c>
      <c r="Q249">
        <v>60</v>
      </c>
      <c r="R249">
        <v>1</v>
      </c>
      <c r="S249" t="s">
        <v>116</v>
      </c>
      <c r="T249">
        <v>1</v>
      </c>
      <c r="U249">
        <v>1</v>
      </c>
      <c r="V249">
        <v>0</v>
      </c>
      <c r="W249">
        <v>0</v>
      </c>
      <c r="X249">
        <v>0</v>
      </c>
      <c r="Y249" s="20">
        <f>SUM(Table1[[#This Row],[dty_type_cnt1]:[dty_type_cnt5]])</f>
        <v>2</v>
      </c>
    </row>
    <row r="250" spans="1:25" x14ac:dyDescent="0.25">
      <c r="A250" s="15">
        <v>46106</v>
      </c>
      <c r="B250" t="s">
        <v>430</v>
      </c>
      <c r="C250" t="s">
        <v>159</v>
      </c>
      <c r="D250" t="s">
        <v>46</v>
      </c>
      <c r="E250" t="s">
        <v>219</v>
      </c>
      <c r="F250" t="s">
        <v>220</v>
      </c>
      <c r="G250" t="s">
        <v>160</v>
      </c>
      <c r="H250" t="s">
        <v>161</v>
      </c>
      <c r="I250" t="s">
        <v>160</v>
      </c>
      <c r="J250" t="s">
        <v>0</v>
      </c>
      <c r="K250" t="s">
        <v>1</v>
      </c>
      <c r="L250">
        <v>27461</v>
      </c>
      <c r="M250">
        <v>24</v>
      </c>
      <c r="N250">
        <v>6</v>
      </c>
      <c r="O250">
        <v>422.47199999999998</v>
      </c>
      <c r="P250">
        <v>84.9</v>
      </c>
      <c r="Q250">
        <v>35</v>
      </c>
      <c r="R250">
        <v>2</v>
      </c>
      <c r="S250" t="s">
        <v>116</v>
      </c>
      <c r="T250">
        <v>2</v>
      </c>
      <c r="U250">
        <v>2</v>
      </c>
      <c r="V250">
        <v>0</v>
      </c>
      <c r="W250">
        <v>0</v>
      </c>
      <c r="X250">
        <v>0</v>
      </c>
      <c r="Y250" s="20">
        <f>SUM(Table1[[#This Row],[dty_type_cnt1]:[dty_type_cnt5]])</f>
        <v>4</v>
      </c>
    </row>
    <row r="251" spans="1:25" x14ac:dyDescent="0.25">
      <c r="A251" s="15">
        <v>46106</v>
      </c>
      <c r="B251" t="s">
        <v>430</v>
      </c>
      <c r="C251" t="s">
        <v>159</v>
      </c>
      <c r="D251" t="s">
        <v>46</v>
      </c>
      <c r="E251" t="s">
        <v>221</v>
      </c>
      <c r="F251" t="s">
        <v>222</v>
      </c>
      <c r="G251" t="s">
        <v>160</v>
      </c>
      <c r="H251" t="s">
        <v>161</v>
      </c>
      <c r="I251" t="s">
        <v>160</v>
      </c>
      <c r="J251" t="s">
        <v>0</v>
      </c>
      <c r="K251" t="s">
        <v>1</v>
      </c>
      <c r="L251">
        <v>27461</v>
      </c>
      <c r="M251">
        <v>33</v>
      </c>
      <c r="N251">
        <v>8</v>
      </c>
      <c r="O251">
        <v>672.93600000000004</v>
      </c>
      <c r="P251">
        <v>145.19999999999999</v>
      </c>
      <c r="Q251">
        <v>30</v>
      </c>
      <c r="R251">
        <v>3</v>
      </c>
      <c r="S251" t="s">
        <v>116</v>
      </c>
      <c r="T251">
        <v>3</v>
      </c>
      <c r="U251">
        <v>2</v>
      </c>
      <c r="V251">
        <v>1</v>
      </c>
      <c r="W251">
        <v>0</v>
      </c>
      <c r="X251">
        <v>0</v>
      </c>
      <c r="Y251" s="20">
        <f>SUM(Table1[[#This Row],[dty_type_cnt1]:[dty_type_cnt5]])</f>
        <v>6</v>
      </c>
    </row>
    <row r="252" spans="1:25" x14ac:dyDescent="0.25">
      <c r="A252" s="15">
        <v>46106</v>
      </c>
      <c r="B252" t="s">
        <v>430</v>
      </c>
      <c r="C252" t="s">
        <v>159</v>
      </c>
      <c r="D252" t="s">
        <v>55</v>
      </c>
      <c r="E252" t="s">
        <v>223</v>
      </c>
      <c r="F252" t="s">
        <v>224</v>
      </c>
      <c r="G252" t="s">
        <v>160</v>
      </c>
      <c r="H252" t="s">
        <v>161</v>
      </c>
      <c r="I252" t="s">
        <v>160</v>
      </c>
      <c r="J252" t="s">
        <v>0</v>
      </c>
      <c r="K252" t="s">
        <v>1</v>
      </c>
      <c r="L252">
        <v>27461</v>
      </c>
      <c r="M252">
        <v>39</v>
      </c>
      <c r="N252">
        <v>2</v>
      </c>
      <c r="O252">
        <v>134.35499999999999</v>
      </c>
      <c r="P252">
        <v>38.200000000000003</v>
      </c>
      <c r="Q252">
        <v>20</v>
      </c>
      <c r="R252">
        <v>1</v>
      </c>
      <c r="S252" t="s">
        <v>116</v>
      </c>
      <c r="T252">
        <v>1</v>
      </c>
      <c r="U252">
        <v>1</v>
      </c>
      <c r="V252">
        <v>0</v>
      </c>
      <c r="W252">
        <v>0</v>
      </c>
      <c r="X252">
        <v>0</v>
      </c>
      <c r="Y252" s="20">
        <f>SUM(Table1[[#This Row],[dty_type_cnt1]:[dty_type_cnt5]])</f>
        <v>2</v>
      </c>
    </row>
    <row r="253" spans="1:25" x14ac:dyDescent="0.25">
      <c r="A253" s="15">
        <v>46106</v>
      </c>
      <c r="B253" t="s">
        <v>430</v>
      </c>
      <c r="C253" t="s">
        <v>159</v>
      </c>
      <c r="D253" t="s">
        <v>55</v>
      </c>
      <c r="E253" t="s">
        <v>225</v>
      </c>
      <c r="F253" t="s">
        <v>226</v>
      </c>
      <c r="G253" t="s">
        <v>160</v>
      </c>
      <c r="H253" t="s">
        <v>161</v>
      </c>
      <c r="I253" t="s">
        <v>160</v>
      </c>
      <c r="J253" t="s">
        <v>0</v>
      </c>
      <c r="K253" t="s">
        <v>1</v>
      </c>
      <c r="L253">
        <v>27461</v>
      </c>
      <c r="M253">
        <v>39</v>
      </c>
      <c r="N253">
        <v>2</v>
      </c>
      <c r="O253">
        <v>129.714</v>
      </c>
      <c r="P253">
        <v>29.4</v>
      </c>
      <c r="Q253">
        <v>20</v>
      </c>
      <c r="R253">
        <v>1</v>
      </c>
      <c r="S253" t="s">
        <v>116</v>
      </c>
      <c r="T253">
        <v>1</v>
      </c>
      <c r="U253">
        <v>1</v>
      </c>
      <c r="V253">
        <v>0</v>
      </c>
      <c r="W253">
        <v>0</v>
      </c>
      <c r="X253">
        <v>0</v>
      </c>
      <c r="Y253" s="20">
        <f>SUM(Table1[[#This Row],[dty_type_cnt1]:[dty_type_cnt5]])</f>
        <v>2</v>
      </c>
    </row>
    <row r="254" spans="1:25" x14ac:dyDescent="0.25">
      <c r="A254" s="15">
        <v>46106</v>
      </c>
      <c r="B254" t="s">
        <v>430</v>
      </c>
      <c r="C254" t="s">
        <v>159</v>
      </c>
      <c r="D254" t="s">
        <v>101</v>
      </c>
      <c r="E254" t="s">
        <v>227</v>
      </c>
      <c r="F254" t="s">
        <v>228</v>
      </c>
      <c r="G254" t="s">
        <v>160</v>
      </c>
      <c r="H254" t="s">
        <v>161</v>
      </c>
      <c r="I254" t="s">
        <v>160</v>
      </c>
      <c r="J254" t="s">
        <v>156</v>
      </c>
      <c r="K254" t="s">
        <v>1</v>
      </c>
      <c r="L254">
        <v>27461</v>
      </c>
      <c r="M254">
        <v>38</v>
      </c>
      <c r="N254">
        <v>32</v>
      </c>
      <c r="O254">
        <v>2520.989</v>
      </c>
      <c r="P254">
        <v>1129.4000000000001</v>
      </c>
      <c r="Q254">
        <v>20</v>
      </c>
      <c r="R254">
        <v>16</v>
      </c>
      <c r="S254" t="s">
        <v>116</v>
      </c>
      <c r="T254">
        <v>0</v>
      </c>
      <c r="U254">
        <v>0</v>
      </c>
      <c r="V254">
        <v>16</v>
      </c>
      <c r="W254">
        <v>0</v>
      </c>
      <c r="X254">
        <v>0</v>
      </c>
      <c r="Y254" s="20">
        <f>SUM(Table1[[#This Row],[dty_type_cnt1]:[dty_type_cnt5]])</f>
        <v>16</v>
      </c>
    </row>
    <row r="255" spans="1:25" x14ac:dyDescent="0.25">
      <c r="A255" s="15">
        <v>46106</v>
      </c>
      <c r="B255" t="s">
        <v>430</v>
      </c>
      <c r="C255" t="s">
        <v>159</v>
      </c>
      <c r="D255" t="s">
        <v>49</v>
      </c>
      <c r="E255" t="s">
        <v>229</v>
      </c>
      <c r="F255" t="s">
        <v>230</v>
      </c>
      <c r="G255" t="s">
        <v>160</v>
      </c>
      <c r="H255" t="s">
        <v>161</v>
      </c>
      <c r="I255" t="s">
        <v>160</v>
      </c>
      <c r="J255" t="s">
        <v>171</v>
      </c>
      <c r="K255" t="s">
        <v>1</v>
      </c>
      <c r="L255">
        <v>27461</v>
      </c>
      <c r="M255">
        <v>77</v>
      </c>
      <c r="N255">
        <v>24</v>
      </c>
      <c r="O255">
        <v>4129.9440000000004</v>
      </c>
      <c r="P255">
        <v>670.7</v>
      </c>
      <c r="Q255">
        <v>20</v>
      </c>
      <c r="R255">
        <v>10</v>
      </c>
      <c r="S255" t="s">
        <v>116</v>
      </c>
      <c r="T255">
        <v>12</v>
      </c>
      <c r="U255">
        <v>6</v>
      </c>
      <c r="V255">
        <v>4</v>
      </c>
      <c r="W255">
        <v>0</v>
      </c>
      <c r="X255">
        <v>0</v>
      </c>
      <c r="Y255" s="20">
        <f>SUM(Table1[[#This Row],[dty_type_cnt1]:[dty_type_cnt5]])</f>
        <v>22</v>
      </c>
    </row>
    <row r="256" spans="1:25" x14ac:dyDescent="0.25">
      <c r="A256" s="15">
        <v>46107</v>
      </c>
      <c r="B256" t="s">
        <v>430</v>
      </c>
      <c r="C256" t="s">
        <v>159</v>
      </c>
      <c r="D256" t="s">
        <v>49</v>
      </c>
      <c r="E256" t="s">
        <v>231</v>
      </c>
      <c r="F256" t="s">
        <v>232</v>
      </c>
      <c r="G256" t="s">
        <v>160</v>
      </c>
      <c r="H256" t="s">
        <v>161</v>
      </c>
      <c r="I256" t="s">
        <v>160</v>
      </c>
      <c r="J256" t="s">
        <v>156</v>
      </c>
      <c r="K256" t="s">
        <v>1</v>
      </c>
      <c r="L256">
        <v>27461</v>
      </c>
      <c r="M256">
        <v>48</v>
      </c>
      <c r="N256">
        <v>8</v>
      </c>
      <c r="O256">
        <v>2353.2440000000001</v>
      </c>
      <c r="P256">
        <v>128.80000000000001</v>
      </c>
      <c r="Q256">
        <v>30</v>
      </c>
      <c r="R256">
        <v>4</v>
      </c>
      <c r="S256" t="s">
        <v>116</v>
      </c>
      <c r="T256">
        <v>5</v>
      </c>
      <c r="U256">
        <v>3</v>
      </c>
      <c r="V256">
        <v>1</v>
      </c>
      <c r="W256">
        <v>0</v>
      </c>
      <c r="X256">
        <v>0</v>
      </c>
      <c r="Y256" s="20">
        <f>SUM(Table1[[#This Row],[dty_type_cnt1]:[dty_type_cnt5]])</f>
        <v>9</v>
      </c>
    </row>
    <row r="257" spans="1:25" x14ac:dyDescent="0.25">
      <c r="A257" s="15">
        <v>46107</v>
      </c>
      <c r="B257" t="s">
        <v>430</v>
      </c>
      <c r="C257" t="s">
        <v>159</v>
      </c>
      <c r="D257" t="s">
        <v>46</v>
      </c>
      <c r="E257">
        <v>8</v>
      </c>
      <c r="F257" t="s">
        <v>61</v>
      </c>
      <c r="G257" t="s">
        <v>160</v>
      </c>
      <c r="H257" t="s">
        <v>161</v>
      </c>
      <c r="I257" t="s">
        <v>160</v>
      </c>
      <c r="J257" t="s">
        <v>0</v>
      </c>
      <c r="K257" t="s">
        <v>2</v>
      </c>
      <c r="L257">
        <v>27460</v>
      </c>
      <c r="M257">
        <v>27</v>
      </c>
      <c r="N257">
        <v>10</v>
      </c>
      <c r="O257">
        <v>1012.004</v>
      </c>
      <c r="P257">
        <v>103.2</v>
      </c>
      <c r="Q257">
        <v>25</v>
      </c>
      <c r="R257">
        <v>5</v>
      </c>
      <c r="S257" t="s">
        <v>116</v>
      </c>
      <c r="T257">
        <v>3</v>
      </c>
      <c r="U257">
        <v>5</v>
      </c>
      <c r="V257">
        <v>0</v>
      </c>
      <c r="W257">
        <v>0</v>
      </c>
      <c r="X257">
        <v>0</v>
      </c>
      <c r="Y257" s="20">
        <f>SUM(Table1[[#This Row],[dty_type_cnt1]:[dty_type_cnt5]])</f>
        <v>8</v>
      </c>
    </row>
    <row r="258" spans="1:25" x14ac:dyDescent="0.25">
      <c r="A258" s="15">
        <v>46107</v>
      </c>
      <c r="B258" t="s">
        <v>430</v>
      </c>
      <c r="C258" t="s">
        <v>159</v>
      </c>
      <c r="D258" t="s">
        <v>46</v>
      </c>
      <c r="E258">
        <v>56</v>
      </c>
      <c r="F258" t="s">
        <v>162</v>
      </c>
      <c r="G258" t="s">
        <v>160</v>
      </c>
      <c r="H258" t="s">
        <v>161</v>
      </c>
      <c r="I258" t="s">
        <v>160</v>
      </c>
      <c r="J258" t="s">
        <v>156</v>
      </c>
      <c r="K258" t="s">
        <v>2</v>
      </c>
      <c r="L258">
        <v>27460</v>
      </c>
      <c r="M258">
        <v>14</v>
      </c>
      <c r="N258">
        <v>2</v>
      </c>
      <c r="O258">
        <v>420.483</v>
      </c>
      <c r="P258">
        <v>49.1</v>
      </c>
      <c r="Q258">
        <v>117</v>
      </c>
      <c r="R258">
        <v>1</v>
      </c>
      <c r="S258" t="s">
        <v>116</v>
      </c>
      <c r="T258">
        <v>1</v>
      </c>
      <c r="U258">
        <v>1</v>
      </c>
      <c r="V258">
        <v>0</v>
      </c>
      <c r="W258">
        <v>0</v>
      </c>
      <c r="X258">
        <v>0</v>
      </c>
      <c r="Y258" s="20">
        <f>SUM(Table1[[#This Row],[dty_type_cnt1]:[dty_type_cnt5]])</f>
        <v>2</v>
      </c>
    </row>
    <row r="259" spans="1:25" x14ac:dyDescent="0.25">
      <c r="A259" s="15">
        <v>46107</v>
      </c>
      <c r="B259" t="s">
        <v>430</v>
      </c>
      <c r="C259" t="s">
        <v>159</v>
      </c>
      <c r="D259" t="s">
        <v>46</v>
      </c>
      <c r="E259">
        <v>84</v>
      </c>
      <c r="F259" t="s">
        <v>164</v>
      </c>
      <c r="G259" t="s">
        <v>160</v>
      </c>
      <c r="H259" t="s">
        <v>161</v>
      </c>
      <c r="I259" t="s">
        <v>160</v>
      </c>
      <c r="J259" t="s">
        <v>156</v>
      </c>
      <c r="K259" t="s">
        <v>2</v>
      </c>
      <c r="L259">
        <v>27460</v>
      </c>
      <c r="M259">
        <v>26</v>
      </c>
      <c r="N259">
        <v>6</v>
      </c>
      <c r="O259">
        <v>579.95299999999997</v>
      </c>
      <c r="P259">
        <v>75.2</v>
      </c>
      <c r="Q259">
        <v>25</v>
      </c>
      <c r="R259">
        <v>3</v>
      </c>
      <c r="S259" t="s">
        <v>116</v>
      </c>
      <c r="T259">
        <v>3</v>
      </c>
      <c r="U259">
        <v>1</v>
      </c>
      <c r="V259">
        <v>2</v>
      </c>
      <c r="W259">
        <v>0</v>
      </c>
      <c r="X259">
        <v>0</v>
      </c>
      <c r="Y259" s="20">
        <f>SUM(Table1[[#This Row],[dty_type_cnt1]:[dty_type_cnt5]])</f>
        <v>6</v>
      </c>
    </row>
    <row r="260" spans="1:25" x14ac:dyDescent="0.25">
      <c r="A260" s="15">
        <v>46107</v>
      </c>
      <c r="B260" t="s">
        <v>430</v>
      </c>
      <c r="C260" t="s">
        <v>159</v>
      </c>
      <c r="D260" t="s">
        <v>46</v>
      </c>
      <c r="E260">
        <v>88</v>
      </c>
      <c r="F260" t="s">
        <v>119</v>
      </c>
      <c r="G260" t="s">
        <v>160</v>
      </c>
      <c r="H260" t="s">
        <v>161</v>
      </c>
      <c r="I260" t="s">
        <v>160</v>
      </c>
      <c r="J260" t="s">
        <v>0</v>
      </c>
      <c r="K260" t="s">
        <v>2</v>
      </c>
      <c r="L260">
        <v>27460</v>
      </c>
      <c r="M260">
        <v>58</v>
      </c>
      <c r="N260">
        <v>18</v>
      </c>
      <c r="O260">
        <v>1789.7349999999999</v>
      </c>
      <c r="P260">
        <v>504.3</v>
      </c>
      <c r="Q260">
        <v>25</v>
      </c>
      <c r="R260">
        <v>9</v>
      </c>
      <c r="S260" t="s">
        <v>116</v>
      </c>
      <c r="T260">
        <v>9</v>
      </c>
      <c r="U260">
        <v>8</v>
      </c>
      <c r="V260">
        <v>1</v>
      </c>
      <c r="W260">
        <v>0</v>
      </c>
      <c r="X260">
        <v>0</v>
      </c>
      <c r="Y260" s="20">
        <f>SUM(Table1[[#This Row],[dty_type_cnt1]:[dty_type_cnt5]])</f>
        <v>18</v>
      </c>
    </row>
    <row r="261" spans="1:25" x14ac:dyDescent="0.25">
      <c r="A261" s="15">
        <v>46107</v>
      </c>
      <c r="B261" t="s">
        <v>430</v>
      </c>
      <c r="C261" t="s">
        <v>159</v>
      </c>
      <c r="D261" t="s">
        <v>46</v>
      </c>
      <c r="E261" t="s">
        <v>165</v>
      </c>
      <c r="F261" t="s">
        <v>166</v>
      </c>
      <c r="G261" t="s">
        <v>160</v>
      </c>
      <c r="H261" t="s">
        <v>161</v>
      </c>
      <c r="I261" t="s">
        <v>160</v>
      </c>
      <c r="J261" t="s">
        <v>63</v>
      </c>
      <c r="K261" t="s">
        <v>2</v>
      </c>
      <c r="L261">
        <v>27460</v>
      </c>
      <c r="M261">
        <v>16</v>
      </c>
      <c r="N261">
        <v>2</v>
      </c>
      <c r="O261">
        <v>492.13600000000002</v>
      </c>
      <c r="P261">
        <v>18.899999999999999</v>
      </c>
      <c r="Q261">
        <v>120</v>
      </c>
      <c r="R261">
        <v>1</v>
      </c>
      <c r="S261" t="s">
        <v>116</v>
      </c>
      <c r="T261">
        <v>1</v>
      </c>
      <c r="U261">
        <v>1</v>
      </c>
      <c r="V261">
        <v>0</v>
      </c>
      <c r="W261">
        <v>0</v>
      </c>
      <c r="X261">
        <v>0</v>
      </c>
      <c r="Y261" s="20">
        <f>SUM(Table1[[#This Row],[dty_type_cnt1]:[dty_type_cnt5]])</f>
        <v>2</v>
      </c>
    </row>
    <row r="262" spans="1:25" x14ac:dyDescent="0.25">
      <c r="A262" s="15">
        <v>46107</v>
      </c>
      <c r="B262" t="s">
        <v>430</v>
      </c>
      <c r="C262" t="s">
        <v>159</v>
      </c>
      <c r="D262" t="s">
        <v>46</v>
      </c>
      <c r="E262">
        <v>96</v>
      </c>
      <c r="F262" t="s">
        <v>167</v>
      </c>
      <c r="G262" t="s">
        <v>160</v>
      </c>
      <c r="H262" t="s">
        <v>161</v>
      </c>
      <c r="I262" t="s">
        <v>160</v>
      </c>
      <c r="J262" t="s">
        <v>156</v>
      </c>
      <c r="K262" t="s">
        <v>2</v>
      </c>
      <c r="L262">
        <v>27460</v>
      </c>
      <c r="M262">
        <v>16</v>
      </c>
      <c r="N262">
        <v>4</v>
      </c>
      <c r="O262">
        <v>802.66200000000003</v>
      </c>
      <c r="P262">
        <v>34.4</v>
      </c>
      <c r="Q262">
        <v>30</v>
      </c>
      <c r="R262">
        <v>2</v>
      </c>
      <c r="S262" t="s">
        <v>116</v>
      </c>
      <c r="T262">
        <v>2</v>
      </c>
      <c r="U262">
        <v>2</v>
      </c>
      <c r="V262">
        <v>0</v>
      </c>
      <c r="W262">
        <v>0</v>
      </c>
      <c r="X262">
        <v>0</v>
      </c>
      <c r="Y262" s="20">
        <f>SUM(Table1[[#This Row],[dty_type_cnt1]:[dty_type_cnt5]])</f>
        <v>4</v>
      </c>
    </row>
    <row r="263" spans="1:25" x14ac:dyDescent="0.25">
      <c r="A263" s="15">
        <v>46107</v>
      </c>
      <c r="B263" t="s">
        <v>430</v>
      </c>
      <c r="C263" t="s">
        <v>159</v>
      </c>
      <c r="D263" t="s">
        <v>46</v>
      </c>
      <c r="E263">
        <v>99</v>
      </c>
      <c r="F263" t="s">
        <v>168</v>
      </c>
      <c r="G263" t="s">
        <v>160</v>
      </c>
      <c r="H263" t="s">
        <v>161</v>
      </c>
      <c r="I263" t="s">
        <v>160</v>
      </c>
      <c r="J263" t="s">
        <v>63</v>
      </c>
      <c r="K263" t="s">
        <v>2</v>
      </c>
      <c r="L263">
        <v>27460</v>
      </c>
      <c r="M263">
        <v>38</v>
      </c>
      <c r="N263">
        <v>2</v>
      </c>
      <c r="O263">
        <v>330.29599999999999</v>
      </c>
      <c r="P263">
        <v>38.700000000000003</v>
      </c>
      <c r="Q263">
        <v>60</v>
      </c>
      <c r="R263">
        <v>1</v>
      </c>
      <c r="S263" t="s">
        <v>116</v>
      </c>
      <c r="T263">
        <v>2</v>
      </c>
      <c r="U263">
        <v>0</v>
      </c>
      <c r="V263">
        <v>1</v>
      </c>
      <c r="W263">
        <v>0</v>
      </c>
      <c r="X263">
        <v>0</v>
      </c>
      <c r="Y263" s="20">
        <f>SUM(Table1[[#This Row],[dty_type_cnt1]:[dty_type_cnt5]])</f>
        <v>3</v>
      </c>
    </row>
    <row r="264" spans="1:25" x14ac:dyDescent="0.25">
      <c r="A264" s="15">
        <v>46107</v>
      </c>
      <c r="B264" t="s">
        <v>430</v>
      </c>
      <c r="C264" t="s">
        <v>159</v>
      </c>
      <c r="D264" t="s">
        <v>55</v>
      </c>
      <c r="E264" t="s">
        <v>169</v>
      </c>
      <c r="F264" t="s">
        <v>170</v>
      </c>
      <c r="G264" t="s">
        <v>160</v>
      </c>
      <c r="H264" t="s">
        <v>161</v>
      </c>
      <c r="I264" t="s">
        <v>160</v>
      </c>
      <c r="J264" t="s">
        <v>171</v>
      </c>
      <c r="K264" t="s">
        <v>2</v>
      </c>
      <c r="L264">
        <v>27460</v>
      </c>
      <c r="M264">
        <v>9</v>
      </c>
      <c r="N264">
        <v>10</v>
      </c>
      <c r="O264">
        <v>386.43900000000002</v>
      </c>
      <c r="P264">
        <v>58.48</v>
      </c>
      <c r="Q264">
        <v>120</v>
      </c>
      <c r="R264">
        <v>1</v>
      </c>
      <c r="S264" t="s">
        <v>116</v>
      </c>
      <c r="T264">
        <v>1</v>
      </c>
      <c r="U264">
        <v>1</v>
      </c>
      <c r="V264">
        <v>0</v>
      </c>
      <c r="W264">
        <v>0</v>
      </c>
      <c r="X264">
        <v>0</v>
      </c>
      <c r="Y264" s="20">
        <f>SUM(Table1[[#This Row],[dty_type_cnt1]:[dty_type_cnt5]])</f>
        <v>2</v>
      </c>
    </row>
    <row r="265" spans="1:25" x14ac:dyDescent="0.25">
      <c r="A265" s="15">
        <v>46107</v>
      </c>
      <c r="B265" t="s">
        <v>430</v>
      </c>
      <c r="C265" t="s">
        <v>159</v>
      </c>
      <c r="D265" t="s">
        <v>55</v>
      </c>
      <c r="E265" t="s">
        <v>172</v>
      </c>
      <c r="F265" t="s">
        <v>173</v>
      </c>
      <c r="G265" t="s">
        <v>160</v>
      </c>
      <c r="H265" t="s">
        <v>161</v>
      </c>
      <c r="I265" t="s">
        <v>160</v>
      </c>
      <c r="J265" t="s">
        <v>0</v>
      </c>
      <c r="K265" t="s">
        <v>2</v>
      </c>
      <c r="L265">
        <v>27460</v>
      </c>
      <c r="M265">
        <v>26</v>
      </c>
      <c r="N265">
        <v>2</v>
      </c>
      <c r="O265">
        <v>657.56899999999996</v>
      </c>
      <c r="P265">
        <v>0.2</v>
      </c>
      <c r="Q265">
        <v>75</v>
      </c>
      <c r="R265">
        <v>1</v>
      </c>
      <c r="S265" t="s">
        <v>116</v>
      </c>
      <c r="T265">
        <v>1</v>
      </c>
      <c r="U265">
        <v>1</v>
      </c>
      <c r="V265">
        <v>0</v>
      </c>
      <c r="W265">
        <v>0</v>
      </c>
      <c r="X265">
        <v>0</v>
      </c>
      <c r="Y265" s="20">
        <f>SUM(Table1[[#This Row],[dty_type_cnt1]:[dty_type_cnt5]])</f>
        <v>2</v>
      </c>
    </row>
    <row r="266" spans="1:25" x14ac:dyDescent="0.25">
      <c r="A266" s="15">
        <v>46107</v>
      </c>
      <c r="B266" t="s">
        <v>430</v>
      </c>
      <c r="C266" t="s">
        <v>159</v>
      </c>
      <c r="D266" t="s">
        <v>55</v>
      </c>
      <c r="E266" t="s">
        <v>174</v>
      </c>
      <c r="F266" t="s">
        <v>175</v>
      </c>
      <c r="G266" t="s">
        <v>160</v>
      </c>
      <c r="H266" t="s">
        <v>161</v>
      </c>
      <c r="I266" t="s">
        <v>160</v>
      </c>
      <c r="J266" t="s">
        <v>156</v>
      </c>
      <c r="K266" t="s">
        <v>2</v>
      </c>
      <c r="L266">
        <v>27460</v>
      </c>
      <c r="M266">
        <v>13</v>
      </c>
      <c r="N266">
        <v>2</v>
      </c>
      <c r="O266">
        <v>526.90300000000002</v>
      </c>
      <c r="P266">
        <v>21.7</v>
      </c>
      <c r="Q266">
        <v>90</v>
      </c>
      <c r="R266">
        <v>1</v>
      </c>
      <c r="S266" t="s">
        <v>116</v>
      </c>
      <c r="T266">
        <v>2</v>
      </c>
      <c r="U266">
        <v>0</v>
      </c>
      <c r="V266">
        <v>1</v>
      </c>
      <c r="W266">
        <v>0</v>
      </c>
      <c r="X266">
        <v>0</v>
      </c>
      <c r="Y266" s="20">
        <f>SUM(Table1[[#This Row],[dty_type_cnt1]:[dty_type_cnt5]])</f>
        <v>3</v>
      </c>
    </row>
    <row r="267" spans="1:25" x14ac:dyDescent="0.25">
      <c r="A267" s="15">
        <v>46107</v>
      </c>
      <c r="B267" t="s">
        <v>430</v>
      </c>
      <c r="C267" t="s">
        <v>159</v>
      </c>
      <c r="D267" t="s">
        <v>176</v>
      </c>
      <c r="E267" t="s">
        <v>177</v>
      </c>
      <c r="F267" t="s">
        <v>178</v>
      </c>
      <c r="G267" t="s">
        <v>160</v>
      </c>
      <c r="H267" t="s">
        <v>161</v>
      </c>
      <c r="I267" t="s">
        <v>160</v>
      </c>
      <c r="J267" t="s">
        <v>171</v>
      </c>
      <c r="K267" t="s">
        <v>2</v>
      </c>
      <c r="L267">
        <v>27460</v>
      </c>
      <c r="M267">
        <v>108</v>
      </c>
      <c r="N267">
        <v>26</v>
      </c>
      <c r="O267">
        <v>12636.392</v>
      </c>
      <c r="P267">
        <v>451.6</v>
      </c>
      <c r="Q267">
        <v>20</v>
      </c>
      <c r="R267">
        <v>13</v>
      </c>
      <c r="S267" t="s">
        <v>116</v>
      </c>
      <c r="T267">
        <v>14</v>
      </c>
      <c r="U267">
        <v>9</v>
      </c>
      <c r="V267">
        <v>6</v>
      </c>
      <c r="W267">
        <v>0</v>
      </c>
      <c r="X267">
        <v>0</v>
      </c>
      <c r="Y267" s="20">
        <f>SUM(Table1[[#This Row],[dty_type_cnt1]:[dty_type_cnt5]])</f>
        <v>29</v>
      </c>
    </row>
    <row r="268" spans="1:25" x14ac:dyDescent="0.25">
      <c r="A268" s="15">
        <v>46107</v>
      </c>
      <c r="B268" t="s">
        <v>430</v>
      </c>
      <c r="C268" t="s">
        <v>159</v>
      </c>
      <c r="D268" t="s">
        <v>54</v>
      </c>
      <c r="E268" t="s">
        <v>179</v>
      </c>
      <c r="F268" t="s">
        <v>180</v>
      </c>
      <c r="G268" t="s">
        <v>160</v>
      </c>
      <c r="H268" t="s">
        <v>161</v>
      </c>
      <c r="I268" t="s">
        <v>160</v>
      </c>
      <c r="J268" t="s">
        <v>156</v>
      </c>
      <c r="K268" t="s">
        <v>2</v>
      </c>
      <c r="L268">
        <v>27460</v>
      </c>
      <c r="M268">
        <v>34</v>
      </c>
      <c r="N268">
        <v>6</v>
      </c>
      <c r="O268">
        <v>766.95299999999997</v>
      </c>
      <c r="P268">
        <v>106.2</v>
      </c>
      <c r="Q268">
        <v>35</v>
      </c>
      <c r="R268">
        <v>3</v>
      </c>
      <c r="S268" t="s">
        <v>116</v>
      </c>
      <c r="T268">
        <v>5</v>
      </c>
      <c r="U268">
        <v>1</v>
      </c>
      <c r="V268">
        <v>2</v>
      </c>
      <c r="W268">
        <v>0</v>
      </c>
      <c r="X268">
        <v>0</v>
      </c>
      <c r="Y268" s="20">
        <f>SUM(Table1[[#This Row],[dty_type_cnt1]:[dty_type_cnt5]])</f>
        <v>8</v>
      </c>
    </row>
    <row r="269" spans="1:25" x14ac:dyDescent="0.25">
      <c r="A269" s="15">
        <v>46107</v>
      </c>
      <c r="B269" t="s">
        <v>430</v>
      </c>
      <c r="C269" t="s">
        <v>159</v>
      </c>
      <c r="D269" t="s">
        <v>54</v>
      </c>
      <c r="E269" t="s">
        <v>181</v>
      </c>
      <c r="F269" t="s">
        <v>182</v>
      </c>
      <c r="G269" t="s">
        <v>160</v>
      </c>
      <c r="H269" t="s">
        <v>161</v>
      </c>
      <c r="I269" t="s">
        <v>160</v>
      </c>
      <c r="J269" t="s">
        <v>156</v>
      </c>
      <c r="K269" t="s">
        <v>2</v>
      </c>
      <c r="L269">
        <v>27460</v>
      </c>
      <c r="M269">
        <v>63</v>
      </c>
      <c r="N269">
        <v>10</v>
      </c>
      <c r="O269">
        <v>1364.6179999999999</v>
      </c>
      <c r="P269">
        <v>113.6</v>
      </c>
      <c r="Q269">
        <v>20</v>
      </c>
      <c r="R269">
        <v>5</v>
      </c>
      <c r="S269" t="s">
        <v>116</v>
      </c>
      <c r="T269">
        <v>5</v>
      </c>
      <c r="U269">
        <v>2</v>
      </c>
      <c r="V269">
        <v>2</v>
      </c>
      <c r="W269">
        <v>0</v>
      </c>
      <c r="X269">
        <v>0</v>
      </c>
      <c r="Y269" s="20">
        <f>SUM(Table1[[#This Row],[dty_type_cnt1]:[dty_type_cnt5]])</f>
        <v>9</v>
      </c>
    </row>
    <row r="270" spans="1:25" x14ac:dyDescent="0.25">
      <c r="A270" s="15">
        <v>46107</v>
      </c>
      <c r="B270" t="s">
        <v>430</v>
      </c>
      <c r="C270" t="s">
        <v>159</v>
      </c>
      <c r="D270" t="s">
        <v>54</v>
      </c>
      <c r="E270" t="s">
        <v>183</v>
      </c>
      <c r="F270" t="s">
        <v>184</v>
      </c>
      <c r="G270" t="s">
        <v>160</v>
      </c>
      <c r="H270" t="s">
        <v>161</v>
      </c>
      <c r="I270" t="s">
        <v>160</v>
      </c>
      <c r="J270" t="s">
        <v>156</v>
      </c>
      <c r="K270" t="s">
        <v>2</v>
      </c>
      <c r="L270">
        <v>27460</v>
      </c>
      <c r="M270">
        <v>33</v>
      </c>
      <c r="N270">
        <v>8</v>
      </c>
      <c r="O270">
        <v>982.67399999999998</v>
      </c>
      <c r="P270">
        <v>42</v>
      </c>
      <c r="Q270">
        <v>25</v>
      </c>
      <c r="R270">
        <v>3</v>
      </c>
      <c r="S270" t="s">
        <v>116</v>
      </c>
      <c r="T270">
        <v>3</v>
      </c>
      <c r="U270">
        <v>2</v>
      </c>
      <c r="V270">
        <v>2</v>
      </c>
      <c r="W270">
        <v>0</v>
      </c>
      <c r="X270">
        <v>0</v>
      </c>
      <c r="Y270" s="20">
        <f>SUM(Table1[[#This Row],[dty_type_cnt1]:[dty_type_cnt5]])</f>
        <v>7</v>
      </c>
    </row>
    <row r="271" spans="1:25" x14ac:dyDescent="0.25">
      <c r="A271" s="15">
        <v>46107</v>
      </c>
      <c r="B271" t="s">
        <v>430</v>
      </c>
      <c r="C271" t="s">
        <v>159</v>
      </c>
      <c r="D271" t="s">
        <v>54</v>
      </c>
      <c r="E271" t="s">
        <v>185</v>
      </c>
      <c r="F271" t="s">
        <v>186</v>
      </c>
      <c r="G271" t="s">
        <v>160</v>
      </c>
      <c r="H271" t="s">
        <v>161</v>
      </c>
      <c r="I271" t="s">
        <v>160</v>
      </c>
      <c r="J271" t="s">
        <v>0</v>
      </c>
      <c r="K271" t="s">
        <v>2</v>
      </c>
      <c r="L271">
        <v>27460</v>
      </c>
      <c r="M271">
        <v>39</v>
      </c>
      <c r="N271">
        <v>4</v>
      </c>
      <c r="O271">
        <v>503.733</v>
      </c>
      <c r="P271">
        <v>6.2</v>
      </c>
      <c r="Q271">
        <v>30</v>
      </c>
      <c r="R271">
        <v>2</v>
      </c>
      <c r="S271" t="s">
        <v>116</v>
      </c>
      <c r="T271">
        <v>3</v>
      </c>
      <c r="U271">
        <v>1</v>
      </c>
      <c r="V271">
        <v>1</v>
      </c>
      <c r="W271">
        <v>0</v>
      </c>
      <c r="X271">
        <v>0</v>
      </c>
      <c r="Y271" s="20">
        <f>SUM(Table1[[#This Row],[dty_type_cnt1]:[dty_type_cnt5]])</f>
        <v>5</v>
      </c>
    </row>
    <row r="272" spans="1:25" x14ac:dyDescent="0.25">
      <c r="A272" s="15">
        <v>46107</v>
      </c>
      <c r="B272" t="s">
        <v>430</v>
      </c>
      <c r="C272" t="s">
        <v>159</v>
      </c>
      <c r="D272" t="s">
        <v>54</v>
      </c>
      <c r="E272" t="s">
        <v>187</v>
      </c>
      <c r="F272" t="s">
        <v>188</v>
      </c>
      <c r="G272" t="s">
        <v>160</v>
      </c>
      <c r="H272" t="s">
        <v>161</v>
      </c>
      <c r="I272" t="s">
        <v>160</v>
      </c>
      <c r="J272" t="s">
        <v>0</v>
      </c>
      <c r="K272" t="s">
        <v>2</v>
      </c>
      <c r="L272">
        <v>27460</v>
      </c>
      <c r="M272">
        <v>52</v>
      </c>
      <c r="N272">
        <v>8</v>
      </c>
      <c r="O272">
        <v>1112.038</v>
      </c>
      <c r="P272">
        <v>49.25</v>
      </c>
      <c r="Q272">
        <v>15</v>
      </c>
      <c r="R272">
        <v>4</v>
      </c>
      <c r="S272" t="s">
        <v>116</v>
      </c>
      <c r="T272">
        <v>4</v>
      </c>
      <c r="U272">
        <v>3</v>
      </c>
      <c r="V272">
        <v>0</v>
      </c>
      <c r="W272">
        <v>0</v>
      </c>
      <c r="X272">
        <v>0</v>
      </c>
      <c r="Y272" s="20">
        <f>SUM(Table1[[#This Row],[dty_type_cnt1]:[dty_type_cnt5]])</f>
        <v>7</v>
      </c>
    </row>
    <row r="273" spans="1:25" x14ac:dyDescent="0.25">
      <c r="A273" s="15">
        <v>46107</v>
      </c>
      <c r="B273" t="s">
        <v>430</v>
      </c>
      <c r="C273" t="s">
        <v>159</v>
      </c>
      <c r="D273" t="s">
        <v>54</v>
      </c>
      <c r="E273" t="s">
        <v>189</v>
      </c>
      <c r="F273" t="s">
        <v>190</v>
      </c>
      <c r="G273" t="s">
        <v>160</v>
      </c>
      <c r="H273" t="s">
        <v>161</v>
      </c>
      <c r="I273" t="s">
        <v>160</v>
      </c>
      <c r="J273" t="s">
        <v>63</v>
      </c>
      <c r="K273" t="s">
        <v>2</v>
      </c>
      <c r="L273">
        <v>27460</v>
      </c>
      <c r="M273">
        <v>34</v>
      </c>
      <c r="N273">
        <v>4</v>
      </c>
      <c r="O273">
        <v>327.20499999999998</v>
      </c>
      <c r="P273">
        <v>23</v>
      </c>
      <c r="Q273">
        <v>25</v>
      </c>
      <c r="R273">
        <v>2</v>
      </c>
      <c r="S273" t="s">
        <v>116</v>
      </c>
      <c r="T273">
        <v>2</v>
      </c>
      <c r="U273">
        <v>1</v>
      </c>
      <c r="V273">
        <v>1</v>
      </c>
      <c r="W273">
        <v>0</v>
      </c>
      <c r="X273">
        <v>0</v>
      </c>
      <c r="Y273" s="20">
        <f>SUM(Table1[[#This Row],[dty_type_cnt1]:[dty_type_cnt5]])</f>
        <v>4</v>
      </c>
    </row>
    <row r="274" spans="1:25" x14ac:dyDescent="0.25">
      <c r="A274" s="15">
        <v>46107</v>
      </c>
      <c r="B274" t="s">
        <v>430</v>
      </c>
      <c r="C274" t="s">
        <v>159</v>
      </c>
      <c r="D274" t="s">
        <v>54</v>
      </c>
      <c r="E274" t="s">
        <v>191</v>
      </c>
      <c r="F274" t="s">
        <v>192</v>
      </c>
      <c r="G274" t="s">
        <v>160</v>
      </c>
      <c r="H274" t="s">
        <v>161</v>
      </c>
      <c r="I274" t="s">
        <v>160</v>
      </c>
      <c r="J274" t="s">
        <v>0</v>
      </c>
      <c r="K274" t="s">
        <v>2</v>
      </c>
      <c r="L274">
        <v>27460</v>
      </c>
      <c r="M274">
        <v>120</v>
      </c>
      <c r="N274">
        <v>30</v>
      </c>
      <c r="O274">
        <v>2669.1280000000002</v>
      </c>
      <c r="P274">
        <v>279.89999999999998</v>
      </c>
      <c r="Q274">
        <v>15</v>
      </c>
      <c r="R274">
        <v>11</v>
      </c>
      <c r="S274" t="s">
        <v>116</v>
      </c>
      <c r="T274">
        <v>12</v>
      </c>
      <c r="U274">
        <v>6</v>
      </c>
      <c r="V274">
        <v>5</v>
      </c>
      <c r="W274">
        <v>0</v>
      </c>
      <c r="X274">
        <v>0</v>
      </c>
      <c r="Y274" s="20">
        <f>SUM(Table1[[#This Row],[dty_type_cnt1]:[dty_type_cnt5]])</f>
        <v>23</v>
      </c>
    </row>
    <row r="275" spans="1:25" x14ac:dyDescent="0.25">
      <c r="A275" s="15">
        <v>46107</v>
      </c>
      <c r="B275" t="s">
        <v>430</v>
      </c>
      <c r="C275" t="s">
        <v>159</v>
      </c>
      <c r="D275" t="s">
        <v>54</v>
      </c>
      <c r="E275" t="s">
        <v>193</v>
      </c>
      <c r="F275" t="s">
        <v>194</v>
      </c>
      <c r="G275" t="s">
        <v>160</v>
      </c>
      <c r="H275" t="s">
        <v>161</v>
      </c>
      <c r="I275" t="s">
        <v>160</v>
      </c>
      <c r="J275" t="s">
        <v>156</v>
      </c>
      <c r="K275" t="s">
        <v>2</v>
      </c>
      <c r="L275">
        <v>27460</v>
      </c>
      <c r="M275">
        <v>83</v>
      </c>
      <c r="N275">
        <v>14</v>
      </c>
      <c r="O275">
        <v>1901.6110000000001</v>
      </c>
      <c r="P275">
        <v>106.1</v>
      </c>
      <c r="Q275">
        <v>25</v>
      </c>
      <c r="R275">
        <v>7</v>
      </c>
      <c r="S275" t="s">
        <v>116</v>
      </c>
      <c r="T275">
        <v>8</v>
      </c>
      <c r="U275">
        <v>4</v>
      </c>
      <c r="V275">
        <v>3</v>
      </c>
      <c r="W275">
        <v>0</v>
      </c>
      <c r="X275">
        <v>0</v>
      </c>
      <c r="Y275" s="20">
        <f>SUM(Table1[[#This Row],[dty_type_cnt1]:[dty_type_cnt5]])</f>
        <v>15</v>
      </c>
    </row>
    <row r="276" spans="1:25" x14ac:dyDescent="0.25">
      <c r="A276" s="15">
        <v>46107</v>
      </c>
      <c r="B276" t="s">
        <v>430</v>
      </c>
      <c r="C276" t="s">
        <v>159</v>
      </c>
      <c r="D276" t="s">
        <v>54</v>
      </c>
      <c r="E276" t="s">
        <v>195</v>
      </c>
      <c r="F276" t="s">
        <v>196</v>
      </c>
      <c r="G276" t="s">
        <v>160</v>
      </c>
      <c r="H276" t="s">
        <v>161</v>
      </c>
      <c r="I276" t="s">
        <v>160</v>
      </c>
      <c r="J276" t="s">
        <v>156</v>
      </c>
      <c r="K276" t="s">
        <v>2</v>
      </c>
      <c r="L276">
        <v>27460</v>
      </c>
      <c r="M276">
        <v>93</v>
      </c>
      <c r="N276">
        <v>11</v>
      </c>
      <c r="O276">
        <v>2454.4899999999998</v>
      </c>
      <c r="P276">
        <v>123.9</v>
      </c>
      <c r="Q276">
        <v>20</v>
      </c>
      <c r="R276">
        <v>5</v>
      </c>
      <c r="S276" t="s">
        <v>116</v>
      </c>
      <c r="T276">
        <v>9</v>
      </c>
      <c r="U276">
        <v>1</v>
      </c>
      <c r="V276">
        <v>5</v>
      </c>
      <c r="W276">
        <v>0</v>
      </c>
      <c r="X276">
        <v>0</v>
      </c>
      <c r="Y276" s="20">
        <f>SUM(Table1[[#This Row],[dty_type_cnt1]:[dty_type_cnt5]])</f>
        <v>15</v>
      </c>
    </row>
    <row r="277" spans="1:25" x14ac:dyDescent="0.25">
      <c r="A277" s="15">
        <v>46107</v>
      </c>
      <c r="B277" t="s">
        <v>430</v>
      </c>
      <c r="C277" t="s">
        <v>159</v>
      </c>
      <c r="D277" t="s">
        <v>54</v>
      </c>
      <c r="E277" t="s">
        <v>197</v>
      </c>
      <c r="F277" t="s">
        <v>198</v>
      </c>
      <c r="G277" t="s">
        <v>160</v>
      </c>
      <c r="H277" t="s">
        <v>161</v>
      </c>
      <c r="I277" t="s">
        <v>160</v>
      </c>
      <c r="J277" t="s">
        <v>156</v>
      </c>
      <c r="K277" t="s">
        <v>2</v>
      </c>
      <c r="L277">
        <v>27460</v>
      </c>
      <c r="M277">
        <v>64</v>
      </c>
      <c r="N277">
        <v>14</v>
      </c>
      <c r="O277">
        <v>2256.1979999999999</v>
      </c>
      <c r="P277">
        <v>122.04</v>
      </c>
      <c r="Q277">
        <v>15</v>
      </c>
      <c r="R277">
        <v>7</v>
      </c>
      <c r="S277" t="s">
        <v>116</v>
      </c>
      <c r="T277">
        <v>7</v>
      </c>
      <c r="U277">
        <v>5</v>
      </c>
      <c r="V277">
        <v>3</v>
      </c>
      <c r="W277">
        <v>0</v>
      </c>
      <c r="X277">
        <v>0</v>
      </c>
      <c r="Y277" s="20">
        <f>SUM(Table1[[#This Row],[dty_type_cnt1]:[dty_type_cnt5]])</f>
        <v>15</v>
      </c>
    </row>
    <row r="278" spans="1:25" x14ac:dyDescent="0.25">
      <c r="A278" s="15">
        <v>46107</v>
      </c>
      <c r="B278" t="s">
        <v>430</v>
      </c>
      <c r="C278" t="s">
        <v>159</v>
      </c>
      <c r="D278" t="s">
        <v>54</v>
      </c>
      <c r="E278" t="s">
        <v>199</v>
      </c>
      <c r="F278" t="s">
        <v>200</v>
      </c>
      <c r="G278" t="s">
        <v>160</v>
      </c>
      <c r="H278" t="s">
        <v>161</v>
      </c>
      <c r="I278" t="s">
        <v>160</v>
      </c>
      <c r="J278" t="s">
        <v>156</v>
      </c>
      <c r="K278" t="s">
        <v>2</v>
      </c>
      <c r="L278">
        <v>27460</v>
      </c>
      <c r="M278">
        <v>52</v>
      </c>
      <c r="N278">
        <v>12</v>
      </c>
      <c r="O278">
        <v>1483.846</v>
      </c>
      <c r="P278">
        <v>88.9</v>
      </c>
      <c r="Q278">
        <v>20</v>
      </c>
      <c r="R278">
        <v>5</v>
      </c>
      <c r="S278" t="s">
        <v>116</v>
      </c>
      <c r="T278">
        <v>5</v>
      </c>
      <c r="U278">
        <v>5</v>
      </c>
      <c r="V278">
        <v>0</v>
      </c>
      <c r="W278">
        <v>0</v>
      </c>
      <c r="X278">
        <v>0</v>
      </c>
      <c r="Y278" s="20">
        <f>SUM(Table1[[#This Row],[dty_type_cnt1]:[dty_type_cnt5]])</f>
        <v>10</v>
      </c>
    </row>
    <row r="279" spans="1:25" x14ac:dyDescent="0.25">
      <c r="A279" s="15">
        <v>46107</v>
      </c>
      <c r="B279" t="s">
        <v>430</v>
      </c>
      <c r="C279" t="s">
        <v>159</v>
      </c>
      <c r="D279" t="s">
        <v>54</v>
      </c>
      <c r="E279" t="s">
        <v>201</v>
      </c>
      <c r="F279" t="s">
        <v>202</v>
      </c>
      <c r="G279" t="s">
        <v>160</v>
      </c>
      <c r="H279" t="s">
        <v>161</v>
      </c>
      <c r="I279" t="s">
        <v>160</v>
      </c>
      <c r="J279" t="s">
        <v>156</v>
      </c>
      <c r="K279" t="s">
        <v>2</v>
      </c>
      <c r="L279">
        <v>27460</v>
      </c>
      <c r="M279">
        <v>38</v>
      </c>
      <c r="N279">
        <v>4</v>
      </c>
      <c r="O279">
        <v>517.23099999999999</v>
      </c>
      <c r="P279">
        <v>26.3</v>
      </c>
      <c r="Q279">
        <v>25</v>
      </c>
      <c r="R279">
        <v>2</v>
      </c>
      <c r="S279" t="s">
        <v>116</v>
      </c>
      <c r="T279">
        <v>2</v>
      </c>
      <c r="U279">
        <v>1</v>
      </c>
      <c r="V279">
        <v>1</v>
      </c>
      <c r="W279">
        <v>0</v>
      </c>
      <c r="X279">
        <v>0</v>
      </c>
      <c r="Y279" s="20">
        <f>SUM(Table1[[#This Row],[dty_type_cnt1]:[dty_type_cnt5]])</f>
        <v>4</v>
      </c>
    </row>
    <row r="280" spans="1:25" x14ac:dyDescent="0.25">
      <c r="A280" s="15">
        <v>46107</v>
      </c>
      <c r="B280" t="s">
        <v>430</v>
      </c>
      <c r="C280" t="s">
        <v>159</v>
      </c>
      <c r="D280" t="s">
        <v>54</v>
      </c>
      <c r="E280" t="s">
        <v>203</v>
      </c>
      <c r="F280" t="s">
        <v>204</v>
      </c>
      <c r="G280" t="s">
        <v>160</v>
      </c>
      <c r="H280" t="s">
        <v>161</v>
      </c>
      <c r="I280" t="s">
        <v>160</v>
      </c>
      <c r="J280" t="s">
        <v>156</v>
      </c>
      <c r="K280" t="s">
        <v>2</v>
      </c>
      <c r="L280">
        <v>27460</v>
      </c>
      <c r="M280">
        <v>63</v>
      </c>
      <c r="N280">
        <v>13</v>
      </c>
      <c r="O280">
        <v>3078.56</v>
      </c>
      <c r="P280">
        <v>316.39999999999998</v>
      </c>
      <c r="Q280">
        <v>30</v>
      </c>
      <c r="R280">
        <v>7</v>
      </c>
      <c r="S280" t="s">
        <v>116</v>
      </c>
      <c r="T280">
        <v>9</v>
      </c>
      <c r="U280">
        <v>2</v>
      </c>
      <c r="V280">
        <v>4</v>
      </c>
      <c r="W280">
        <v>0</v>
      </c>
      <c r="X280">
        <v>0</v>
      </c>
      <c r="Y280" s="20">
        <f>SUM(Table1[[#This Row],[dty_type_cnt1]:[dty_type_cnt5]])</f>
        <v>15</v>
      </c>
    </row>
    <row r="281" spans="1:25" x14ac:dyDescent="0.25">
      <c r="A281" s="15">
        <v>46107</v>
      </c>
      <c r="B281" t="s">
        <v>430</v>
      </c>
      <c r="C281" t="s">
        <v>159</v>
      </c>
      <c r="D281" t="s">
        <v>54</v>
      </c>
      <c r="E281" t="s">
        <v>205</v>
      </c>
      <c r="F281" t="s">
        <v>206</v>
      </c>
      <c r="G281" t="s">
        <v>160</v>
      </c>
      <c r="H281" t="s">
        <v>161</v>
      </c>
      <c r="I281" t="s">
        <v>160</v>
      </c>
      <c r="J281" t="s">
        <v>156</v>
      </c>
      <c r="K281" t="s">
        <v>2</v>
      </c>
      <c r="L281">
        <v>27460</v>
      </c>
      <c r="M281">
        <v>36</v>
      </c>
      <c r="N281">
        <v>10</v>
      </c>
      <c r="O281">
        <v>2033.0719999999999</v>
      </c>
      <c r="P281">
        <v>123.8</v>
      </c>
      <c r="Q281">
        <v>25</v>
      </c>
      <c r="R281">
        <v>5</v>
      </c>
      <c r="S281" t="s">
        <v>116</v>
      </c>
      <c r="T281">
        <v>5</v>
      </c>
      <c r="U281">
        <v>3</v>
      </c>
      <c r="V281">
        <v>2</v>
      </c>
      <c r="W281">
        <v>0</v>
      </c>
      <c r="X281">
        <v>0</v>
      </c>
      <c r="Y281" s="20">
        <f>SUM(Table1[[#This Row],[dty_type_cnt1]:[dty_type_cnt5]])</f>
        <v>10</v>
      </c>
    </row>
    <row r="282" spans="1:25" x14ac:dyDescent="0.25">
      <c r="A282" s="15">
        <v>46107</v>
      </c>
      <c r="B282" t="s">
        <v>430</v>
      </c>
      <c r="C282" t="s">
        <v>159</v>
      </c>
      <c r="D282" t="s">
        <v>54</v>
      </c>
      <c r="E282" t="s">
        <v>207</v>
      </c>
      <c r="F282" t="s">
        <v>208</v>
      </c>
      <c r="G282" t="s">
        <v>160</v>
      </c>
      <c r="H282" t="s">
        <v>161</v>
      </c>
      <c r="I282" t="s">
        <v>160</v>
      </c>
      <c r="J282" t="s">
        <v>156</v>
      </c>
      <c r="K282" t="s">
        <v>2</v>
      </c>
      <c r="L282">
        <v>27460</v>
      </c>
      <c r="M282">
        <v>72</v>
      </c>
      <c r="N282">
        <v>8</v>
      </c>
      <c r="O282">
        <v>1949.1479999999999</v>
      </c>
      <c r="P282">
        <v>185.8</v>
      </c>
      <c r="Q282">
        <v>30</v>
      </c>
      <c r="R282">
        <v>4</v>
      </c>
      <c r="S282" t="s">
        <v>116</v>
      </c>
      <c r="T282">
        <v>5</v>
      </c>
      <c r="U282">
        <v>3</v>
      </c>
      <c r="V282">
        <v>1</v>
      </c>
      <c r="W282">
        <v>0</v>
      </c>
      <c r="X282">
        <v>0</v>
      </c>
      <c r="Y282" s="20">
        <f>SUM(Table1[[#This Row],[dty_type_cnt1]:[dty_type_cnt5]])</f>
        <v>9</v>
      </c>
    </row>
    <row r="283" spans="1:25" x14ac:dyDescent="0.25">
      <c r="A283" s="15">
        <v>46107</v>
      </c>
      <c r="B283" t="s">
        <v>430</v>
      </c>
      <c r="C283" t="s">
        <v>159</v>
      </c>
      <c r="D283" t="s">
        <v>54</v>
      </c>
      <c r="E283" t="s">
        <v>209</v>
      </c>
      <c r="F283" t="s">
        <v>210</v>
      </c>
      <c r="G283" t="s">
        <v>160</v>
      </c>
      <c r="H283" t="s">
        <v>161</v>
      </c>
      <c r="I283" t="s">
        <v>160</v>
      </c>
      <c r="J283" t="s">
        <v>156</v>
      </c>
      <c r="K283" t="s">
        <v>2</v>
      </c>
      <c r="L283">
        <v>27460</v>
      </c>
      <c r="M283">
        <v>36</v>
      </c>
      <c r="N283">
        <v>2</v>
      </c>
      <c r="O283">
        <v>395.75200000000001</v>
      </c>
      <c r="P283">
        <v>15.2</v>
      </c>
      <c r="Q283">
        <v>30</v>
      </c>
      <c r="R283">
        <v>1</v>
      </c>
      <c r="S283" t="s">
        <v>116</v>
      </c>
      <c r="T283">
        <v>1</v>
      </c>
      <c r="U283">
        <v>1</v>
      </c>
      <c r="V283">
        <v>0</v>
      </c>
      <c r="W283">
        <v>0</v>
      </c>
      <c r="X283">
        <v>0</v>
      </c>
      <c r="Y283" s="20">
        <f>SUM(Table1[[#This Row],[dty_type_cnt1]:[dty_type_cnt5]])</f>
        <v>2</v>
      </c>
    </row>
    <row r="284" spans="1:25" x14ac:dyDescent="0.25">
      <c r="A284" s="15">
        <v>46107</v>
      </c>
      <c r="B284" t="s">
        <v>430</v>
      </c>
      <c r="C284" t="s">
        <v>159</v>
      </c>
      <c r="D284" t="s">
        <v>54</v>
      </c>
      <c r="E284" t="s">
        <v>211</v>
      </c>
      <c r="F284" t="s">
        <v>212</v>
      </c>
      <c r="G284" t="s">
        <v>160</v>
      </c>
      <c r="H284" t="s">
        <v>161</v>
      </c>
      <c r="I284" t="s">
        <v>160</v>
      </c>
      <c r="J284" t="s">
        <v>63</v>
      </c>
      <c r="K284" t="s">
        <v>2</v>
      </c>
      <c r="L284">
        <v>27460</v>
      </c>
      <c r="M284">
        <v>38</v>
      </c>
      <c r="N284">
        <v>2</v>
      </c>
      <c r="O284">
        <v>155.68600000000001</v>
      </c>
      <c r="P284">
        <v>37.5</v>
      </c>
      <c r="Q284">
        <v>30</v>
      </c>
      <c r="R284">
        <v>1</v>
      </c>
      <c r="S284" t="s">
        <v>116</v>
      </c>
      <c r="T284">
        <v>2</v>
      </c>
      <c r="U284">
        <v>0</v>
      </c>
      <c r="V284">
        <v>1</v>
      </c>
      <c r="W284">
        <v>0</v>
      </c>
      <c r="X284">
        <v>0</v>
      </c>
      <c r="Y284" s="20">
        <f>SUM(Table1[[#This Row],[dty_type_cnt1]:[dty_type_cnt5]])</f>
        <v>3</v>
      </c>
    </row>
    <row r="285" spans="1:25" x14ac:dyDescent="0.25">
      <c r="A285" s="15">
        <v>46107</v>
      </c>
      <c r="B285" t="s">
        <v>430</v>
      </c>
      <c r="C285" t="s">
        <v>159</v>
      </c>
      <c r="D285" t="s">
        <v>54</v>
      </c>
      <c r="E285" t="s">
        <v>213</v>
      </c>
      <c r="F285" t="s">
        <v>214</v>
      </c>
      <c r="G285" t="s">
        <v>160</v>
      </c>
      <c r="H285" t="s">
        <v>161</v>
      </c>
      <c r="I285" t="s">
        <v>160</v>
      </c>
      <c r="J285" t="s">
        <v>63</v>
      </c>
      <c r="K285" t="s">
        <v>2</v>
      </c>
      <c r="L285">
        <v>27460</v>
      </c>
      <c r="M285">
        <v>38</v>
      </c>
      <c r="N285">
        <v>2</v>
      </c>
      <c r="O285">
        <v>116.736</v>
      </c>
      <c r="P285">
        <v>37.9</v>
      </c>
      <c r="Q285">
        <v>30</v>
      </c>
      <c r="R285">
        <v>1</v>
      </c>
      <c r="S285" t="s">
        <v>116</v>
      </c>
      <c r="T285">
        <v>2</v>
      </c>
      <c r="U285">
        <v>0</v>
      </c>
      <c r="V285">
        <v>1</v>
      </c>
      <c r="W285">
        <v>0</v>
      </c>
      <c r="X285">
        <v>0</v>
      </c>
      <c r="Y285" s="20">
        <f>SUM(Table1[[#This Row],[dty_type_cnt1]:[dty_type_cnt5]])</f>
        <v>3</v>
      </c>
    </row>
    <row r="286" spans="1:25" x14ac:dyDescent="0.25">
      <c r="A286" s="15">
        <v>46107</v>
      </c>
      <c r="B286" t="s">
        <v>430</v>
      </c>
      <c r="C286" t="s">
        <v>159</v>
      </c>
      <c r="D286" t="s">
        <v>46</v>
      </c>
      <c r="E286" t="s">
        <v>215</v>
      </c>
      <c r="F286" t="s">
        <v>216</v>
      </c>
      <c r="G286" t="s">
        <v>160</v>
      </c>
      <c r="H286" t="s">
        <v>161</v>
      </c>
      <c r="I286" t="s">
        <v>160</v>
      </c>
      <c r="J286" t="s">
        <v>0</v>
      </c>
      <c r="K286" t="s">
        <v>2</v>
      </c>
      <c r="L286">
        <v>27460</v>
      </c>
      <c r="M286">
        <v>37</v>
      </c>
      <c r="N286">
        <v>6</v>
      </c>
      <c r="O286">
        <v>1125.096</v>
      </c>
      <c r="P286">
        <v>57.09</v>
      </c>
      <c r="Q286">
        <v>30</v>
      </c>
      <c r="R286">
        <v>3</v>
      </c>
      <c r="S286" t="s">
        <v>116</v>
      </c>
      <c r="T286">
        <v>5</v>
      </c>
      <c r="U286">
        <v>1</v>
      </c>
      <c r="V286">
        <v>2</v>
      </c>
      <c r="W286">
        <v>0</v>
      </c>
      <c r="X286">
        <v>0</v>
      </c>
      <c r="Y286" s="20">
        <f>SUM(Table1[[#This Row],[dty_type_cnt1]:[dty_type_cnt5]])</f>
        <v>8</v>
      </c>
    </row>
    <row r="287" spans="1:25" x14ac:dyDescent="0.25">
      <c r="A287" s="15">
        <v>46107</v>
      </c>
      <c r="B287" t="s">
        <v>430</v>
      </c>
      <c r="C287" t="s">
        <v>159</v>
      </c>
      <c r="D287" t="s">
        <v>46</v>
      </c>
      <c r="E287" t="s">
        <v>217</v>
      </c>
      <c r="F287" t="s">
        <v>218</v>
      </c>
      <c r="G287" t="s">
        <v>160</v>
      </c>
      <c r="H287" t="s">
        <v>161</v>
      </c>
      <c r="I287" t="s">
        <v>160</v>
      </c>
      <c r="J287" t="s">
        <v>0</v>
      </c>
      <c r="K287" t="s">
        <v>2</v>
      </c>
      <c r="L287">
        <v>27460</v>
      </c>
      <c r="M287">
        <v>17</v>
      </c>
      <c r="N287">
        <v>2</v>
      </c>
      <c r="O287">
        <v>233.59700000000001</v>
      </c>
      <c r="P287">
        <v>40.299999999999997</v>
      </c>
      <c r="Q287">
        <v>60</v>
      </c>
      <c r="R287">
        <v>1</v>
      </c>
      <c r="S287" t="s">
        <v>116</v>
      </c>
      <c r="T287">
        <v>1</v>
      </c>
      <c r="U287">
        <v>1</v>
      </c>
      <c r="V287">
        <v>0</v>
      </c>
      <c r="W287">
        <v>0</v>
      </c>
      <c r="X287">
        <v>0</v>
      </c>
      <c r="Y287" s="20">
        <f>SUM(Table1[[#This Row],[dty_type_cnt1]:[dty_type_cnt5]])</f>
        <v>2</v>
      </c>
    </row>
    <row r="288" spans="1:25" x14ac:dyDescent="0.25">
      <c r="A288" s="15">
        <v>46107</v>
      </c>
      <c r="B288" t="s">
        <v>430</v>
      </c>
      <c r="C288" t="s">
        <v>159</v>
      </c>
      <c r="D288" t="s">
        <v>46</v>
      </c>
      <c r="E288" t="s">
        <v>219</v>
      </c>
      <c r="F288" t="s">
        <v>220</v>
      </c>
      <c r="G288" t="s">
        <v>160</v>
      </c>
      <c r="H288" t="s">
        <v>161</v>
      </c>
      <c r="I288" t="s">
        <v>160</v>
      </c>
      <c r="J288" t="s">
        <v>0</v>
      </c>
      <c r="K288" t="s">
        <v>2</v>
      </c>
      <c r="L288">
        <v>27460</v>
      </c>
      <c r="M288">
        <v>17</v>
      </c>
      <c r="N288">
        <v>2</v>
      </c>
      <c r="O288">
        <v>299.25099999999998</v>
      </c>
      <c r="P288">
        <v>28.3</v>
      </c>
      <c r="Q288">
        <v>58</v>
      </c>
      <c r="R288">
        <v>1</v>
      </c>
      <c r="S288" t="s">
        <v>116</v>
      </c>
      <c r="T288">
        <v>1</v>
      </c>
      <c r="U288">
        <v>1</v>
      </c>
      <c r="V288">
        <v>0</v>
      </c>
      <c r="W288">
        <v>0</v>
      </c>
      <c r="X288">
        <v>0</v>
      </c>
      <c r="Y288" s="20">
        <f>SUM(Table1[[#This Row],[dty_type_cnt1]:[dty_type_cnt5]])</f>
        <v>2</v>
      </c>
    </row>
    <row r="289" spans="1:25" x14ac:dyDescent="0.25">
      <c r="A289" s="15">
        <v>46107</v>
      </c>
      <c r="B289" t="s">
        <v>430</v>
      </c>
      <c r="C289" t="s">
        <v>159</v>
      </c>
      <c r="D289" t="s">
        <v>46</v>
      </c>
      <c r="E289" t="s">
        <v>221</v>
      </c>
      <c r="F289" t="s">
        <v>222</v>
      </c>
      <c r="G289" t="s">
        <v>160</v>
      </c>
      <c r="H289" t="s">
        <v>161</v>
      </c>
      <c r="I289" t="s">
        <v>160</v>
      </c>
      <c r="J289" t="s">
        <v>0</v>
      </c>
      <c r="K289" t="s">
        <v>2</v>
      </c>
      <c r="L289">
        <v>27460</v>
      </c>
      <c r="M289">
        <v>34</v>
      </c>
      <c r="N289">
        <v>4</v>
      </c>
      <c r="O289">
        <v>693.32799999999997</v>
      </c>
      <c r="P289">
        <v>80.599999999999994</v>
      </c>
      <c r="Q289">
        <v>30</v>
      </c>
      <c r="R289">
        <v>2</v>
      </c>
      <c r="S289" t="s">
        <v>116</v>
      </c>
      <c r="T289">
        <v>2</v>
      </c>
      <c r="U289">
        <v>2</v>
      </c>
      <c r="V289">
        <v>0</v>
      </c>
      <c r="W289">
        <v>0</v>
      </c>
      <c r="X289">
        <v>0</v>
      </c>
      <c r="Y289" s="20">
        <f>SUM(Table1[[#This Row],[dty_type_cnt1]:[dty_type_cnt5]])</f>
        <v>4</v>
      </c>
    </row>
    <row r="290" spans="1:25" x14ac:dyDescent="0.25">
      <c r="A290" s="15">
        <v>46107</v>
      </c>
      <c r="B290" t="s">
        <v>430</v>
      </c>
      <c r="C290" t="s">
        <v>159</v>
      </c>
      <c r="D290" t="s">
        <v>55</v>
      </c>
      <c r="E290" t="s">
        <v>223</v>
      </c>
      <c r="F290" t="s">
        <v>224</v>
      </c>
      <c r="G290" t="s">
        <v>160</v>
      </c>
      <c r="H290" t="s">
        <v>161</v>
      </c>
      <c r="I290" t="s">
        <v>160</v>
      </c>
      <c r="J290" t="s">
        <v>0</v>
      </c>
      <c r="K290" t="s">
        <v>2</v>
      </c>
      <c r="L290">
        <v>27460</v>
      </c>
      <c r="M290">
        <v>39</v>
      </c>
      <c r="N290">
        <v>2</v>
      </c>
      <c r="O290">
        <v>134.35499999999999</v>
      </c>
      <c r="P290">
        <v>38.200000000000003</v>
      </c>
      <c r="Q290">
        <v>20</v>
      </c>
      <c r="R290">
        <v>1</v>
      </c>
      <c r="S290" t="s">
        <v>116</v>
      </c>
      <c r="T290">
        <v>1</v>
      </c>
      <c r="U290">
        <v>1</v>
      </c>
      <c r="V290">
        <v>0</v>
      </c>
      <c r="W290">
        <v>0</v>
      </c>
      <c r="X290">
        <v>0</v>
      </c>
      <c r="Y290" s="20">
        <f>SUM(Table1[[#This Row],[dty_type_cnt1]:[dty_type_cnt5]])</f>
        <v>2</v>
      </c>
    </row>
    <row r="291" spans="1:25" x14ac:dyDescent="0.25">
      <c r="A291" s="15">
        <v>46107</v>
      </c>
      <c r="B291" t="s">
        <v>430</v>
      </c>
      <c r="C291" t="s">
        <v>159</v>
      </c>
      <c r="D291" t="s">
        <v>55</v>
      </c>
      <c r="E291" t="s">
        <v>225</v>
      </c>
      <c r="F291" t="s">
        <v>226</v>
      </c>
      <c r="G291" t="s">
        <v>160</v>
      </c>
      <c r="H291" t="s">
        <v>161</v>
      </c>
      <c r="I291" t="s">
        <v>160</v>
      </c>
      <c r="J291" t="s">
        <v>0</v>
      </c>
      <c r="K291" t="s">
        <v>2</v>
      </c>
      <c r="L291">
        <v>27460</v>
      </c>
      <c r="M291">
        <v>39</v>
      </c>
      <c r="N291">
        <v>2</v>
      </c>
      <c r="O291">
        <v>129.714</v>
      </c>
      <c r="P291">
        <v>29.4</v>
      </c>
      <c r="Q291">
        <v>20</v>
      </c>
      <c r="R291">
        <v>1</v>
      </c>
      <c r="S291" t="s">
        <v>116</v>
      </c>
      <c r="T291">
        <v>1</v>
      </c>
      <c r="U291">
        <v>1</v>
      </c>
      <c r="V291">
        <v>0</v>
      </c>
      <c r="W291">
        <v>0</v>
      </c>
      <c r="X291">
        <v>0</v>
      </c>
      <c r="Y291" s="20">
        <f>SUM(Table1[[#This Row],[dty_type_cnt1]:[dty_type_cnt5]])</f>
        <v>2</v>
      </c>
    </row>
    <row r="292" spans="1:25" x14ac:dyDescent="0.25">
      <c r="A292" s="15">
        <v>46107</v>
      </c>
      <c r="B292" t="s">
        <v>430</v>
      </c>
      <c r="C292" t="s">
        <v>159</v>
      </c>
      <c r="D292" t="s">
        <v>101</v>
      </c>
      <c r="E292" t="s">
        <v>227</v>
      </c>
      <c r="F292" t="s">
        <v>228</v>
      </c>
      <c r="G292" t="s">
        <v>160</v>
      </c>
      <c r="H292" t="s">
        <v>161</v>
      </c>
      <c r="I292" t="s">
        <v>160</v>
      </c>
      <c r="J292" t="s">
        <v>156</v>
      </c>
      <c r="K292" t="s">
        <v>2</v>
      </c>
      <c r="L292">
        <v>27460</v>
      </c>
      <c r="M292">
        <v>40</v>
      </c>
      <c r="N292">
        <v>32</v>
      </c>
      <c r="O292">
        <v>2653.288</v>
      </c>
      <c r="P292">
        <v>1099.2</v>
      </c>
      <c r="Q292">
        <v>20</v>
      </c>
      <c r="R292">
        <v>16</v>
      </c>
      <c r="S292" t="s">
        <v>116</v>
      </c>
      <c r="T292">
        <v>0</v>
      </c>
      <c r="U292">
        <v>0</v>
      </c>
      <c r="V292">
        <v>16</v>
      </c>
      <c r="W292">
        <v>0</v>
      </c>
      <c r="X292">
        <v>0</v>
      </c>
      <c r="Y292" s="20">
        <f>SUM(Table1[[#This Row],[dty_type_cnt1]:[dty_type_cnt5]])</f>
        <v>16</v>
      </c>
    </row>
    <row r="293" spans="1:25" x14ac:dyDescent="0.25">
      <c r="A293" s="15">
        <v>46107</v>
      </c>
      <c r="B293" t="s">
        <v>430</v>
      </c>
      <c r="C293" t="s">
        <v>159</v>
      </c>
      <c r="D293" t="s">
        <v>49</v>
      </c>
      <c r="E293" t="s">
        <v>229</v>
      </c>
      <c r="F293" t="s">
        <v>230</v>
      </c>
      <c r="G293" t="s">
        <v>160</v>
      </c>
      <c r="H293" t="s">
        <v>161</v>
      </c>
      <c r="I293" t="s">
        <v>160</v>
      </c>
      <c r="J293" t="s">
        <v>171</v>
      </c>
      <c r="K293" t="s">
        <v>2</v>
      </c>
      <c r="L293">
        <v>27460</v>
      </c>
      <c r="M293">
        <v>78</v>
      </c>
      <c r="N293">
        <v>24</v>
      </c>
      <c r="O293">
        <v>4184.8440000000001</v>
      </c>
      <c r="P293">
        <v>690.4</v>
      </c>
      <c r="Q293">
        <v>20</v>
      </c>
      <c r="R293">
        <v>10</v>
      </c>
      <c r="S293" t="s">
        <v>116</v>
      </c>
      <c r="T293">
        <v>10</v>
      </c>
      <c r="U293">
        <v>6</v>
      </c>
      <c r="V293">
        <v>4</v>
      </c>
      <c r="W293">
        <v>0</v>
      </c>
      <c r="X293">
        <v>0</v>
      </c>
      <c r="Y293" s="20">
        <f>SUM(Table1[[#This Row],[dty_type_cnt1]:[dty_type_cnt5]])</f>
        <v>20</v>
      </c>
    </row>
    <row r="294" spans="1:25" x14ac:dyDescent="0.25">
      <c r="A294" s="15">
        <v>46107</v>
      </c>
      <c r="B294" t="s">
        <v>430</v>
      </c>
      <c r="C294" t="s">
        <v>159</v>
      </c>
      <c r="D294" t="s">
        <v>49</v>
      </c>
      <c r="E294" t="s">
        <v>231</v>
      </c>
      <c r="F294" t="s">
        <v>232</v>
      </c>
      <c r="G294" t="s">
        <v>160</v>
      </c>
      <c r="H294" t="s">
        <v>161</v>
      </c>
      <c r="I294" t="s">
        <v>160</v>
      </c>
      <c r="J294" t="s">
        <v>156</v>
      </c>
      <c r="K294" t="s">
        <v>2</v>
      </c>
      <c r="L294">
        <v>27460</v>
      </c>
      <c r="M294">
        <v>59</v>
      </c>
      <c r="N294">
        <v>12</v>
      </c>
      <c r="O294">
        <v>2890.2660000000001</v>
      </c>
      <c r="P294">
        <v>174.3</v>
      </c>
      <c r="Q294">
        <v>30</v>
      </c>
      <c r="R294">
        <v>5</v>
      </c>
      <c r="S294" t="s">
        <v>116</v>
      </c>
      <c r="T294">
        <v>6</v>
      </c>
      <c r="U294">
        <v>3</v>
      </c>
      <c r="V294">
        <v>2</v>
      </c>
      <c r="W294">
        <v>0</v>
      </c>
      <c r="X294">
        <v>0</v>
      </c>
      <c r="Y294" s="20">
        <f>SUM(Table1[[#This Row],[dty_type_cnt1]:[dty_type_cnt5]])</f>
        <v>11</v>
      </c>
    </row>
    <row r="295" spans="1:25" x14ac:dyDescent="0.25">
      <c r="A295" s="15">
        <v>46107</v>
      </c>
      <c r="B295" t="s">
        <v>430</v>
      </c>
      <c r="C295" t="s">
        <v>159</v>
      </c>
      <c r="D295" t="s">
        <v>46</v>
      </c>
      <c r="E295">
        <v>8</v>
      </c>
      <c r="F295" t="s">
        <v>61</v>
      </c>
      <c r="G295" t="s">
        <v>160</v>
      </c>
      <c r="H295" t="s">
        <v>161</v>
      </c>
      <c r="I295" t="s">
        <v>160</v>
      </c>
      <c r="J295" t="s">
        <v>0</v>
      </c>
      <c r="K295" t="s">
        <v>45</v>
      </c>
      <c r="L295">
        <v>27462</v>
      </c>
      <c r="M295">
        <v>24</v>
      </c>
      <c r="N295">
        <v>6</v>
      </c>
      <c r="O295">
        <v>899.59100000000001</v>
      </c>
      <c r="P295">
        <v>0.6</v>
      </c>
      <c r="Q295">
        <v>25</v>
      </c>
      <c r="R295">
        <v>3</v>
      </c>
      <c r="S295" t="s">
        <v>116</v>
      </c>
      <c r="T295">
        <v>3</v>
      </c>
      <c r="U295">
        <v>3</v>
      </c>
      <c r="V295">
        <v>0</v>
      </c>
      <c r="W295">
        <v>0</v>
      </c>
      <c r="X295">
        <v>0</v>
      </c>
      <c r="Y295" s="20">
        <f>SUM(Table1[[#This Row],[dty_type_cnt1]:[dty_type_cnt5]])</f>
        <v>6</v>
      </c>
    </row>
    <row r="296" spans="1:25" x14ac:dyDescent="0.25">
      <c r="A296" s="15">
        <v>46107</v>
      </c>
      <c r="B296" t="s">
        <v>430</v>
      </c>
      <c r="C296" t="s">
        <v>159</v>
      </c>
      <c r="D296" t="s">
        <v>46</v>
      </c>
      <c r="E296">
        <v>56</v>
      </c>
      <c r="F296" t="s">
        <v>162</v>
      </c>
      <c r="G296" t="s">
        <v>160</v>
      </c>
      <c r="H296" t="s">
        <v>161</v>
      </c>
      <c r="I296" t="s">
        <v>160</v>
      </c>
      <c r="J296" t="s">
        <v>156</v>
      </c>
      <c r="K296" t="s">
        <v>45</v>
      </c>
      <c r="L296">
        <v>27462</v>
      </c>
      <c r="M296">
        <v>26</v>
      </c>
      <c r="N296">
        <v>4</v>
      </c>
      <c r="O296">
        <v>780.89700000000005</v>
      </c>
      <c r="P296">
        <v>98.2</v>
      </c>
      <c r="Q296">
        <v>55</v>
      </c>
      <c r="R296">
        <v>2</v>
      </c>
      <c r="S296" t="s">
        <v>116</v>
      </c>
      <c r="T296">
        <v>2</v>
      </c>
      <c r="U296">
        <v>2</v>
      </c>
      <c r="V296">
        <v>0</v>
      </c>
      <c r="W296">
        <v>0</v>
      </c>
      <c r="X296">
        <v>0</v>
      </c>
      <c r="Y296" s="20">
        <f>SUM(Table1[[#This Row],[dty_type_cnt1]:[dty_type_cnt5]])</f>
        <v>4</v>
      </c>
    </row>
    <row r="297" spans="1:25" x14ac:dyDescent="0.25">
      <c r="A297" s="15">
        <v>46107</v>
      </c>
      <c r="B297" t="s">
        <v>430</v>
      </c>
      <c r="C297" t="s">
        <v>159</v>
      </c>
      <c r="D297" t="s">
        <v>46</v>
      </c>
      <c r="E297">
        <v>88</v>
      </c>
      <c r="F297" t="s">
        <v>119</v>
      </c>
      <c r="G297" t="s">
        <v>160</v>
      </c>
      <c r="H297" t="s">
        <v>161</v>
      </c>
      <c r="I297" t="s">
        <v>160</v>
      </c>
      <c r="J297" t="s">
        <v>0</v>
      </c>
      <c r="K297" t="s">
        <v>45</v>
      </c>
      <c r="L297">
        <v>27462</v>
      </c>
      <c r="M297">
        <v>34</v>
      </c>
      <c r="N297">
        <v>10</v>
      </c>
      <c r="O297">
        <v>1049.155</v>
      </c>
      <c r="P297">
        <v>230.3</v>
      </c>
      <c r="Q297">
        <v>30</v>
      </c>
      <c r="R297">
        <v>5</v>
      </c>
      <c r="S297" t="s">
        <v>116</v>
      </c>
      <c r="T297">
        <v>5</v>
      </c>
      <c r="U297">
        <v>4</v>
      </c>
      <c r="V297">
        <v>2</v>
      </c>
      <c r="W297">
        <v>0</v>
      </c>
      <c r="X297">
        <v>0</v>
      </c>
      <c r="Y297" s="20">
        <f>SUM(Table1[[#This Row],[dty_type_cnt1]:[dty_type_cnt5]])</f>
        <v>11</v>
      </c>
    </row>
    <row r="298" spans="1:25" x14ac:dyDescent="0.25">
      <c r="A298" s="15">
        <v>46101</v>
      </c>
      <c r="B298" t="s">
        <v>430</v>
      </c>
      <c r="C298" t="s">
        <v>159</v>
      </c>
      <c r="D298" t="s">
        <v>46</v>
      </c>
      <c r="E298" t="s">
        <v>165</v>
      </c>
      <c r="F298" t="s">
        <v>166</v>
      </c>
      <c r="G298" t="s">
        <v>160</v>
      </c>
      <c r="H298" t="s">
        <v>161</v>
      </c>
      <c r="I298" t="s">
        <v>160</v>
      </c>
      <c r="J298" t="s">
        <v>63</v>
      </c>
      <c r="K298" t="s">
        <v>45</v>
      </c>
      <c r="L298">
        <v>27462</v>
      </c>
      <c r="M298">
        <v>17</v>
      </c>
      <c r="N298">
        <v>4</v>
      </c>
      <c r="O298">
        <v>522.70600000000002</v>
      </c>
      <c r="P298">
        <v>81.2</v>
      </c>
      <c r="Q298">
        <v>60</v>
      </c>
      <c r="R298">
        <v>2</v>
      </c>
      <c r="S298" t="s">
        <v>116</v>
      </c>
      <c r="T298">
        <v>1</v>
      </c>
      <c r="U298">
        <v>2</v>
      </c>
      <c r="V298">
        <v>0</v>
      </c>
      <c r="W298">
        <v>0</v>
      </c>
      <c r="X298">
        <v>0</v>
      </c>
      <c r="Y298" s="20">
        <f>SUM(Table1[[#This Row],[dty_type_cnt1]:[dty_type_cnt5]])</f>
        <v>3</v>
      </c>
    </row>
    <row r="299" spans="1:25" x14ac:dyDescent="0.25">
      <c r="A299" s="15">
        <v>46101</v>
      </c>
      <c r="B299" t="s">
        <v>430</v>
      </c>
      <c r="C299" t="s">
        <v>159</v>
      </c>
      <c r="D299" t="s">
        <v>46</v>
      </c>
      <c r="E299">
        <v>96</v>
      </c>
      <c r="F299" t="s">
        <v>167</v>
      </c>
      <c r="G299" t="s">
        <v>160</v>
      </c>
      <c r="H299" t="s">
        <v>161</v>
      </c>
      <c r="I299" t="s">
        <v>160</v>
      </c>
      <c r="J299" t="s">
        <v>156</v>
      </c>
      <c r="K299" t="s">
        <v>45</v>
      </c>
      <c r="L299">
        <v>27462</v>
      </c>
      <c r="M299">
        <v>28</v>
      </c>
      <c r="N299">
        <v>6</v>
      </c>
      <c r="O299">
        <v>1404.6590000000001</v>
      </c>
      <c r="P299">
        <v>51.6</v>
      </c>
      <c r="Q299">
        <v>30</v>
      </c>
      <c r="R299">
        <v>3</v>
      </c>
      <c r="S299" t="s">
        <v>116</v>
      </c>
      <c r="T299">
        <v>3</v>
      </c>
      <c r="U299">
        <v>3</v>
      </c>
      <c r="V299">
        <v>0</v>
      </c>
      <c r="W299">
        <v>0</v>
      </c>
      <c r="X299">
        <v>0</v>
      </c>
      <c r="Y299" s="20">
        <f>SUM(Table1[[#This Row],[dty_type_cnt1]:[dty_type_cnt5]])</f>
        <v>6</v>
      </c>
    </row>
    <row r="300" spans="1:25" x14ac:dyDescent="0.25">
      <c r="A300" s="15">
        <v>46101</v>
      </c>
      <c r="B300" t="s">
        <v>430</v>
      </c>
      <c r="C300" t="s">
        <v>159</v>
      </c>
      <c r="D300" t="s">
        <v>46</v>
      </c>
      <c r="E300">
        <v>97</v>
      </c>
      <c r="F300" t="s">
        <v>108</v>
      </c>
      <c r="G300" t="s">
        <v>160</v>
      </c>
      <c r="H300" t="s">
        <v>161</v>
      </c>
      <c r="I300" t="s">
        <v>160</v>
      </c>
      <c r="J300" t="s">
        <v>156</v>
      </c>
      <c r="K300" t="s">
        <v>45</v>
      </c>
      <c r="L300">
        <v>27462</v>
      </c>
      <c r="M300">
        <v>46</v>
      </c>
      <c r="N300">
        <v>10</v>
      </c>
      <c r="O300">
        <v>2627.0349999999999</v>
      </c>
      <c r="P300">
        <v>265.7</v>
      </c>
      <c r="Q300">
        <v>30</v>
      </c>
      <c r="R300">
        <v>5</v>
      </c>
      <c r="S300" t="s">
        <v>116</v>
      </c>
      <c r="T300">
        <v>5</v>
      </c>
      <c r="U300">
        <v>5</v>
      </c>
      <c r="V300">
        <v>0</v>
      </c>
      <c r="W300">
        <v>0</v>
      </c>
      <c r="X300">
        <v>0</v>
      </c>
      <c r="Y300" s="20">
        <f>SUM(Table1[[#This Row],[dty_type_cnt1]:[dty_type_cnt5]])</f>
        <v>10</v>
      </c>
    </row>
    <row r="301" spans="1:25" x14ac:dyDescent="0.25">
      <c r="A301" s="15">
        <v>46101</v>
      </c>
      <c r="B301" t="s">
        <v>430</v>
      </c>
      <c r="C301" t="s">
        <v>159</v>
      </c>
      <c r="D301" t="s">
        <v>46</v>
      </c>
      <c r="E301">
        <v>99</v>
      </c>
      <c r="F301" t="s">
        <v>168</v>
      </c>
      <c r="G301" t="s">
        <v>160</v>
      </c>
      <c r="H301" t="s">
        <v>161</v>
      </c>
      <c r="I301" t="s">
        <v>160</v>
      </c>
      <c r="J301" t="s">
        <v>63</v>
      </c>
      <c r="K301" t="s">
        <v>45</v>
      </c>
      <c r="L301">
        <v>27462</v>
      </c>
      <c r="M301">
        <v>37</v>
      </c>
      <c r="N301">
        <v>2</v>
      </c>
      <c r="O301">
        <v>320.87599999999998</v>
      </c>
      <c r="P301">
        <v>31.9</v>
      </c>
      <c r="Q301">
        <v>59</v>
      </c>
      <c r="R301">
        <v>1</v>
      </c>
      <c r="S301" t="s">
        <v>116</v>
      </c>
      <c r="T301">
        <v>1</v>
      </c>
      <c r="U301">
        <v>1</v>
      </c>
      <c r="V301">
        <v>0</v>
      </c>
      <c r="W301">
        <v>0</v>
      </c>
      <c r="X301">
        <v>0</v>
      </c>
      <c r="Y301" s="20">
        <f>SUM(Table1[[#This Row],[dty_type_cnt1]:[dty_type_cnt5]])</f>
        <v>2</v>
      </c>
    </row>
    <row r="302" spans="1:25" x14ac:dyDescent="0.25">
      <c r="A302" s="15">
        <v>46101</v>
      </c>
      <c r="B302" t="s">
        <v>430</v>
      </c>
      <c r="C302" t="s">
        <v>159</v>
      </c>
      <c r="D302" t="s">
        <v>55</v>
      </c>
      <c r="E302" t="s">
        <v>169</v>
      </c>
      <c r="F302" t="s">
        <v>170</v>
      </c>
      <c r="G302" t="s">
        <v>160</v>
      </c>
      <c r="H302" t="s">
        <v>161</v>
      </c>
      <c r="I302" t="s">
        <v>160</v>
      </c>
      <c r="J302" t="s">
        <v>171</v>
      </c>
      <c r="K302" t="s">
        <v>45</v>
      </c>
      <c r="L302">
        <v>27462</v>
      </c>
      <c r="M302">
        <v>9</v>
      </c>
      <c r="N302">
        <v>10</v>
      </c>
      <c r="O302">
        <v>386.43900000000002</v>
      </c>
      <c r="P302">
        <v>58.48</v>
      </c>
      <c r="Q302">
        <v>120</v>
      </c>
      <c r="R302">
        <v>1</v>
      </c>
      <c r="S302" t="s">
        <v>116</v>
      </c>
      <c r="T302">
        <v>1</v>
      </c>
      <c r="U302">
        <v>1</v>
      </c>
      <c r="V302">
        <v>0</v>
      </c>
      <c r="W302">
        <v>0</v>
      </c>
      <c r="X302">
        <v>0</v>
      </c>
      <c r="Y302" s="20">
        <f>SUM(Table1[[#This Row],[dty_type_cnt1]:[dty_type_cnt5]])</f>
        <v>2</v>
      </c>
    </row>
    <row r="303" spans="1:25" x14ac:dyDescent="0.25">
      <c r="A303" s="15">
        <v>46102</v>
      </c>
      <c r="B303" t="s">
        <v>430</v>
      </c>
      <c r="C303" t="s">
        <v>159</v>
      </c>
      <c r="D303" t="s">
        <v>55</v>
      </c>
      <c r="E303" t="s">
        <v>172</v>
      </c>
      <c r="F303" t="s">
        <v>173</v>
      </c>
      <c r="G303" t="s">
        <v>160</v>
      </c>
      <c r="H303" t="s">
        <v>161</v>
      </c>
      <c r="I303" t="s">
        <v>160</v>
      </c>
      <c r="J303" t="s">
        <v>0</v>
      </c>
      <c r="K303" t="s">
        <v>45</v>
      </c>
      <c r="L303">
        <v>27462</v>
      </c>
      <c r="M303">
        <v>26</v>
      </c>
      <c r="N303">
        <v>2</v>
      </c>
      <c r="O303">
        <v>657.56899999999996</v>
      </c>
      <c r="P303">
        <v>0.2</v>
      </c>
      <c r="Q303">
        <v>75</v>
      </c>
      <c r="R303">
        <v>1</v>
      </c>
      <c r="S303" t="s">
        <v>116</v>
      </c>
      <c r="T303">
        <v>1</v>
      </c>
      <c r="U303">
        <v>1</v>
      </c>
      <c r="V303">
        <v>0</v>
      </c>
      <c r="W303">
        <v>0</v>
      </c>
      <c r="X303">
        <v>0</v>
      </c>
      <c r="Y303" s="20">
        <f>SUM(Table1[[#This Row],[dty_type_cnt1]:[dty_type_cnt5]])</f>
        <v>2</v>
      </c>
    </row>
    <row r="304" spans="1:25" x14ac:dyDescent="0.25">
      <c r="A304" s="15">
        <v>46102</v>
      </c>
      <c r="B304" t="s">
        <v>430</v>
      </c>
      <c r="C304" t="s">
        <v>159</v>
      </c>
      <c r="D304" t="s">
        <v>55</v>
      </c>
      <c r="E304" t="s">
        <v>174</v>
      </c>
      <c r="F304" t="s">
        <v>175</v>
      </c>
      <c r="G304" t="s">
        <v>160</v>
      </c>
      <c r="H304" t="s">
        <v>161</v>
      </c>
      <c r="I304" t="s">
        <v>160</v>
      </c>
      <c r="J304" t="s">
        <v>156</v>
      </c>
      <c r="K304" t="s">
        <v>45</v>
      </c>
      <c r="L304">
        <v>27462</v>
      </c>
      <c r="M304">
        <v>13</v>
      </c>
      <c r="N304">
        <v>2</v>
      </c>
      <c r="O304">
        <v>526.90300000000002</v>
      </c>
      <c r="P304">
        <v>21.7</v>
      </c>
      <c r="Q304">
        <v>90</v>
      </c>
      <c r="R304">
        <v>1</v>
      </c>
      <c r="S304" t="s">
        <v>116</v>
      </c>
      <c r="T304">
        <v>2</v>
      </c>
      <c r="U304">
        <v>0</v>
      </c>
      <c r="V304">
        <v>1</v>
      </c>
      <c r="W304">
        <v>0</v>
      </c>
      <c r="X304">
        <v>0</v>
      </c>
      <c r="Y304" s="20">
        <f>SUM(Table1[[#This Row],[dty_type_cnt1]:[dty_type_cnt5]])</f>
        <v>3</v>
      </c>
    </row>
    <row r="305" spans="1:25" x14ac:dyDescent="0.25">
      <c r="A305" s="15">
        <v>46102</v>
      </c>
      <c r="B305" t="s">
        <v>430</v>
      </c>
      <c r="C305" t="s">
        <v>159</v>
      </c>
      <c r="D305" t="s">
        <v>176</v>
      </c>
      <c r="E305" t="s">
        <v>177</v>
      </c>
      <c r="F305" t="s">
        <v>178</v>
      </c>
      <c r="G305" t="s">
        <v>160</v>
      </c>
      <c r="H305" t="s">
        <v>161</v>
      </c>
      <c r="I305" t="s">
        <v>160</v>
      </c>
      <c r="J305" t="s">
        <v>171</v>
      </c>
      <c r="K305" t="s">
        <v>45</v>
      </c>
      <c r="L305">
        <v>27462</v>
      </c>
      <c r="M305">
        <v>108</v>
      </c>
      <c r="N305">
        <v>26</v>
      </c>
      <c r="O305">
        <v>12638.808000000001</v>
      </c>
      <c r="P305">
        <v>237.6</v>
      </c>
      <c r="Q305">
        <v>20</v>
      </c>
      <c r="R305">
        <v>13</v>
      </c>
      <c r="S305" t="s">
        <v>116</v>
      </c>
      <c r="T305">
        <v>15</v>
      </c>
      <c r="U305">
        <v>6</v>
      </c>
      <c r="V305">
        <v>10</v>
      </c>
      <c r="W305">
        <v>0</v>
      </c>
      <c r="X305">
        <v>0</v>
      </c>
      <c r="Y305" s="20">
        <f>SUM(Table1[[#This Row],[dty_type_cnt1]:[dty_type_cnt5]])</f>
        <v>31</v>
      </c>
    </row>
    <row r="306" spans="1:25" x14ac:dyDescent="0.25">
      <c r="A306" s="15">
        <v>46102</v>
      </c>
      <c r="B306" t="s">
        <v>430</v>
      </c>
      <c r="C306" t="s">
        <v>159</v>
      </c>
      <c r="D306" t="s">
        <v>54</v>
      </c>
      <c r="E306" t="s">
        <v>179</v>
      </c>
      <c r="F306" t="s">
        <v>180</v>
      </c>
      <c r="G306" t="s">
        <v>160</v>
      </c>
      <c r="H306" t="s">
        <v>161</v>
      </c>
      <c r="I306" t="s">
        <v>160</v>
      </c>
      <c r="J306" t="s">
        <v>156</v>
      </c>
      <c r="K306" t="s">
        <v>45</v>
      </c>
      <c r="L306">
        <v>27462</v>
      </c>
      <c r="M306">
        <v>26</v>
      </c>
      <c r="N306">
        <v>6</v>
      </c>
      <c r="O306">
        <v>581.02499999999998</v>
      </c>
      <c r="P306">
        <v>106.2</v>
      </c>
      <c r="Q306">
        <v>35</v>
      </c>
      <c r="R306">
        <v>3</v>
      </c>
      <c r="S306" t="s">
        <v>116</v>
      </c>
      <c r="T306">
        <v>2</v>
      </c>
      <c r="U306">
        <v>2</v>
      </c>
      <c r="V306">
        <v>2</v>
      </c>
      <c r="W306">
        <v>0</v>
      </c>
      <c r="X306">
        <v>0</v>
      </c>
      <c r="Y306" s="20">
        <f>SUM(Table1[[#This Row],[dty_type_cnt1]:[dty_type_cnt5]])</f>
        <v>6</v>
      </c>
    </row>
    <row r="307" spans="1:25" x14ac:dyDescent="0.25">
      <c r="A307" s="15">
        <v>46102</v>
      </c>
      <c r="B307" t="s">
        <v>430</v>
      </c>
      <c r="C307" t="s">
        <v>159</v>
      </c>
      <c r="D307" t="s">
        <v>54</v>
      </c>
      <c r="E307" t="s">
        <v>181</v>
      </c>
      <c r="F307" t="s">
        <v>182</v>
      </c>
      <c r="G307" t="s">
        <v>160</v>
      </c>
      <c r="H307" t="s">
        <v>161</v>
      </c>
      <c r="I307" t="s">
        <v>160</v>
      </c>
      <c r="J307" t="s">
        <v>156</v>
      </c>
      <c r="K307" t="s">
        <v>45</v>
      </c>
      <c r="L307">
        <v>27462</v>
      </c>
      <c r="M307">
        <v>42</v>
      </c>
      <c r="N307">
        <v>6</v>
      </c>
      <c r="O307">
        <v>935.21400000000006</v>
      </c>
      <c r="P307">
        <v>63.6</v>
      </c>
      <c r="Q307">
        <v>30</v>
      </c>
      <c r="R307">
        <v>3</v>
      </c>
      <c r="S307" t="s">
        <v>116</v>
      </c>
      <c r="T307">
        <v>3</v>
      </c>
      <c r="U307">
        <v>3</v>
      </c>
      <c r="V307">
        <v>0</v>
      </c>
      <c r="W307">
        <v>0</v>
      </c>
      <c r="X307">
        <v>0</v>
      </c>
      <c r="Y307" s="20">
        <f>SUM(Table1[[#This Row],[dty_type_cnt1]:[dty_type_cnt5]])</f>
        <v>6</v>
      </c>
    </row>
    <row r="308" spans="1:25" x14ac:dyDescent="0.25">
      <c r="A308" s="15">
        <v>46102</v>
      </c>
      <c r="B308" t="s">
        <v>430</v>
      </c>
      <c r="C308" t="s">
        <v>159</v>
      </c>
      <c r="D308" t="s">
        <v>54</v>
      </c>
      <c r="E308" t="s">
        <v>183</v>
      </c>
      <c r="F308" t="s">
        <v>184</v>
      </c>
      <c r="G308" t="s">
        <v>160</v>
      </c>
      <c r="H308" t="s">
        <v>161</v>
      </c>
      <c r="I308" t="s">
        <v>160</v>
      </c>
      <c r="J308" t="s">
        <v>156</v>
      </c>
      <c r="K308" t="s">
        <v>45</v>
      </c>
      <c r="L308">
        <v>27462</v>
      </c>
      <c r="M308">
        <v>36</v>
      </c>
      <c r="N308">
        <v>6</v>
      </c>
      <c r="O308">
        <v>1072.008</v>
      </c>
      <c r="P308">
        <v>31.5</v>
      </c>
      <c r="Q308">
        <v>25</v>
      </c>
      <c r="R308">
        <v>3</v>
      </c>
      <c r="S308" t="s">
        <v>116</v>
      </c>
      <c r="T308">
        <v>3</v>
      </c>
      <c r="U308">
        <v>2</v>
      </c>
      <c r="V308">
        <v>1</v>
      </c>
      <c r="W308">
        <v>0</v>
      </c>
      <c r="X308">
        <v>0</v>
      </c>
      <c r="Y308" s="20">
        <f>SUM(Table1[[#This Row],[dty_type_cnt1]:[dty_type_cnt5]])</f>
        <v>6</v>
      </c>
    </row>
    <row r="309" spans="1:25" x14ac:dyDescent="0.25">
      <c r="A309" s="15">
        <v>46102</v>
      </c>
      <c r="B309" t="s">
        <v>430</v>
      </c>
      <c r="C309" t="s">
        <v>159</v>
      </c>
      <c r="D309" t="s">
        <v>54</v>
      </c>
      <c r="E309" t="s">
        <v>185</v>
      </c>
      <c r="F309" t="s">
        <v>186</v>
      </c>
      <c r="G309" t="s">
        <v>160</v>
      </c>
      <c r="H309" t="s">
        <v>161</v>
      </c>
      <c r="I309" t="s">
        <v>160</v>
      </c>
      <c r="J309" t="s">
        <v>0</v>
      </c>
      <c r="K309" t="s">
        <v>45</v>
      </c>
      <c r="L309">
        <v>27462</v>
      </c>
      <c r="M309">
        <v>46</v>
      </c>
      <c r="N309">
        <v>6</v>
      </c>
      <c r="O309">
        <v>601.23400000000004</v>
      </c>
      <c r="P309">
        <v>24.1</v>
      </c>
      <c r="Q309">
        <v>18</v>
      </c>
      <c r="R309">
        <v>3</v>
      </c>
      <c r="S309" t="s">
        <v>116</v>
      </c>
      <c r="T309">
        <v>2</v>
      </c>
      <c r="U309">
        <v>2</v>
      </c>
      <c r="V309">
        <v>1</v>
      </c>
      <c r="W309">
        <v>0</v>
      </c>
      <c r="X309">
        <v>0</v>
      </c>
      <c r="Y309" s="20">
        <f>SUM(Table1[[#This Row],[dty_type_cnt1]:[dty_type_cnt5]])</f>
        <v>5</v>
      </c>
    </row>
    <row r="310" spans="1:25" x14ac:dyDescent="0.25">
      <c r="A310" s="15">
        <v>46103</v>
      </c>
      <c r="B310" t="s">
        <v>430</v>
      </c>
      <c r="C310" t="s">
        <v>159</v>
      </c>
      <c r="D310" t="s">
        <v>54</v>
      </c>
      <c r="E310" t="s">
        <v>187</v>
      </c>
      <c r="F310" t="s">
        <v>188</v>
      </c>
      <c r="G310" t="s">
        <v>160</v>
      </c>
      <c r="H310" t="s">
        <v>161</v>
      </c>
      <c r="I310" t="s">
        <v>160</v>
      </c>
      <c r="J310" t="s">
        <v>0</v>
      </c>
      <c r="K310" t="s">
        <v>45</v>
      </c>
      <c r="L310">
        <v>27462</v>
      </c>
      <c r="M310">
        <v>48</v>
      </c>
      <c r="N310">
        <v>6</v>
      </c>
      <c r="O310">
        <v>1033.7470000000001</v>
      </c>
      <c r="P310">
        <v>27</v>
      </c>
      <c r="Q310">
        <v>20</v>
      </c>
      <c r="R310">
        <v>3</v>
      </c>
      <c r="S310" t="s">
        <v>116</v>
      </c>
      <c r="T310">
        <v>3</v>
      </c>
      <c r="U310">
        <v>3</v>
      </c>
      <c r="V310">
        <v>0</v>
      </c>
      <c r="W310">
        <v>0</v>
      </c>
      <c r="X310">
        <v>0</v>
      </c>
      <c r="Y310" s="20">
        <f>SUM(Table1[[#This Row],[dty_type_cnt1]:[dty_type_cnt5]])</f>
        <v>6</v>
      </c>
    </row>
    <row r="311" spans="1:25" x14ac:dyDescent="0.25">
      <c r="A311" s="15">
        <v>46103</v>
      </c>
      <c r="B311" t="s">
        <v>430</v>
      </c>
      <c r="C311" t="s">
        <v>159</v>
      </c>
      <c r="D311" t="s">
        <v>54</v>
      </c>
      <c r="E311" t="s">
        <v>189</v>
      </c>
      <c r="F311" t="s">
        <v>190</v>
      </c>
      <c r="G311" t="s">
        <v>160</v>
      </c>
      <c r="H311" t="s">
        <v>161</v>
      </c>
      <c r="I311" t="s">
        <v>160</v>
      </c>
      <c r="J311" t="s">
        <v>63</v>
      </c>
      <c r="K311" t="s">
        <v>45</v>
      </c>
      <c r="L311">
        <v>27462</v>
      </c>
      <c r="M311">
        <v>28</v>
      </c>
      <c r="N311">
        <v>4</v>
      </c>
      <c r="O311">
        <v>268.98700000000002</v>
      </c>
      <c r="P311">
        <v>23</v>
      </c>
      <c r="Q311">
        <v>25</v>
      </c>
      <c r="R311">
        <v>2</v>
      </c>
      <c r="S311" t="s">
        <v>116</v>
      </c>
      <c r="T311">
        <v>1</v>
      </c>
      <c r="U311">
        <v>2</v>
      </c>
      <c r="V311">
        <v>0</v>
      </c>
      <c r="W311">
        <v>0</v>
      </c>
      <c r="X311">
        <v>0</v>
      </c>
      <c r="Y311" s="20">
        <f>SUM(Table1[[#This Row],[dty_type_cnt1]:[dty_type_cnt5]])</f>
        <v>3</v>
      </c>
    </row>
    <row r="312" spans="1:25" x14ac:dyDescent="0.25">
      <c r="A312" s="15">
        <v>46103</v>
      </c>
      <c r="B312" t="s">
        <v>430</v>
      </c>
      <c r="C312" t="s">
        <v>159</v>
      </c>
      <c r="D312" t="s">
        <v>54</v>
      </c>
      <c r="E312" t="s">
        <v>191</v>
      </c>
      <c r="F312" t="s">
        <v>192</v>
      </c>
      <c r="G312" t="s">
        <v>160</v>
      </c>
      <c r="H312" t="s">
        <v>161</v>
      </c>
      <c r="I312" t="s">
        <v>160</v>
      </c>
      <c r="J312" t="s">
        <v>0</v>
      </c>
      <c r="K312" t="s">
        <v>45</v>
      </c>
      <c r="L312">
        <v>27462</v>
      </c>
      <c r="M312">
        <v>107</v>
      </c>
      <c r="N312">
        <v>14</v>
      </c>
      <c r="O312">
        <v>2380.2829999999999</v>
      </c>
      <c r="P312">
        <v>141.6</v>
      </c>
      <c r="Q312">
        <v>20</v>
      </c>
      <c r="R312">
        <v>7</v>
      </c>
      <c r="S312" t="s">
        <v>116</v>
      </c>
      <c r="T312">
        <v>6</v>
      </c>
      <c r="U312">
        <v>7</v>
      </c>
      <c r="V312">
        <v>2</v>
      </c>
      <c r="W312">
        <v>0</v>
      </c>
      <c r="X312">
        <v>0</v>
      </c>
      <c r="Y312" s="20">
        <f>SUM(Table1[[#This Row],[dty_type_cnt1]:[dty_type_cnt5]])</f>
        <v>15</v>
      </c>
    </row>
    <row r="313" spans="1:25" x14ac:dyDescent="0.25">
      <c r="A313" s="15">
        <v>46103</v>
      </c>
      <c r="B313" t="s">
        <v>430</v>
      </c>
      <c r="C313" t="s">
        <v>159</v>
      </c>
      <c r="D313" t="s">
        <v>54</v>
      </c>
      <c r="E313" t="s">
        <v>193</v>
      </c>
      <c r="F313" t="s">
        <v>194</v>
      </c>
      <c r="G313" t="s">
        <v>160</v>
      </c>
      <c r="H313" t="s">
        <v>161</v>
      </c>
      <c r="I313" t="s">
        <v>160</v>
      </c>
      <c r="J313" t="s">
        <v>156</v>
      </c>
      <c r="K313" t="s">
        <v>45</v>
      </c>
      <c r="L313">
        <v>27462</v>
      </c>
      <c r="M313">
        <v>69</v>
      </c>
      <c r="N313">
        <v>10</v>
      </c>
      <c r="O313">
        <v>1578.0219999999999</v>
      </c>
      <c r="P313">
        <v>74.900000000000006</v>
      </c>
      <c r="Q313">
        <v>30</v>
      </c>
      <c r="R313">
        <v>5</v>
      </c>
      <c r="S313" t="s">
        <v>116</v>
      </c>
      <c r="T313">
        <v>5</v>
      </c>
      <c r="U313">
        <v>5</v>
      </c>
      <c r="V313">
        <v>0</v>
      </c>
      <c r="W313">
        <v>0</v>
      </c>
      <c r="X313">
        <v>0</v>
      </c>
      <c r="Y313" s="20">
        <f>SUM(Table1[[#This Row],[dty_type_cnt1]:[dty_type_cnt5]])</f>
        <v>10</v>
      </c>
    </row>
    <row r="314" spans="1:25" x14ac:dyDescent="0.25">
      <c r="A314" s="15">
        <v>46103</v>
      </c>
      <c r="B314" t="s">
        <v>430</v>
      </c>
      <c r="C314" t="s">
        <v>159</v>
      </c>
      <c r="D314" t="s">
        <v>54</v>
      </c>
      <c r="E314" t="s">
        <v>195</v>
      </c>
      <c r="F314" t="s">
        <v>196</v>
      </c>
      <c r="G314" t="s">
        <v>160</v>
      </c>
      <c r="H314" t="s">
        <v>161</v>
      </c>
      <c r="I314" t="s">
        <v>160</v>
      </c>
      <c r="J314" t="s">
        <v>156</v>
      </c>
      <c r="K314" t="s">
        <v>45</v>
      </c>
      <c r="L314">
        <v>27462</v>
      </c>
      <c r="M314">
        <v>144</v>
      </c>
      <c r="N314">
        <v>21</v>
      </c>
      <c r="O314">
        <v>3800.3690000000001</v>
      </c>
      <c r="P314">
        <v>242.6</v>
      </c>
      <c r="Q314">
        <v>10</v>
      </c>
      <c r="R314">
        <v>11</v>
      </c>
      <c r="S314" t="s">
        <v>116</v>
      </c>
      <c r="T314">
        <v>8</v>
      </c>
      <c r="U314">
        <v>7</v>
      </c>
      <c r="V314">
        <v>4</v>
      </c>
      <c r="W314">
        <v>0</v>
      </c>
      <c r="X314">
        <v>0</v>
      </c>
      <c r="Y314" s="20">
        <f>SUM(Table1[[#This Row],[dty_type_cnt1]:[dty_type_cnt5]])</f>
        <v>19</v>
      </c>
    </row>
    <row r="315" spans="1:25" x14ac:dyDescent="0.25">
      <c r="A315" s="15">
        <v>46103</v>
      </c>
      <c r="B315" t="s">
        <v>430</v>
      </c>
      <c r="C315" t="s">
        <v>159</v>
      </c>
      <c r="D315" t="s">
        <v>54</v>
      </c>
      <c r="E315" t="s">
        <v>197</v>
      </c>
      <c r="F315" t="s">
        <v>198</v>
      </c>
      <c r="G315" t="s">
        <v>160</v>
      </c>
      <c r="H315" t="s">
        <v>161</v>
      </c>
      <c r="I315" t="s">
        <v>160</v>
      </c>
      <c r="J315" t="s">
        <v>156</v>
      </c>
      <c r="K315" t="s">
        <v>45</v>
      </c>
      <c r="L315">
        <v>27462</v>
      </c>
      <c r="M315">
        <v>63</v>
      </c>
      <c r="N315">
        <v>18</v>
      </c>
      <c r="O315">
        <v>2220.4270000000001</v>
      </c>
      <c r="P315">
        <v>164.2</v>
      </c>
      <c r="Q315">
        <v>20</v>
      </c>
      <c r="R315">
        <v>9</v>
      </c>
      <c r="S315" t="s">
        <v>116</v>
      </c>
      <c r="T315">
        <v>5</v>
      </c>
      <c r="U315">
        <v>7</v>
      </c>
      <c r="V315">
        <v>2</v>
      </c>
      <c r="W315">
        <v>0</v>
      </c>
      <c r="X315">
        <v>0</v>
      </c>
      <c r="Y315" s="20">
        <f>SUM(Table1[[#This Row],[dty_type_cnt1]:[dty_type_cnt5]])</f>
        <v>14</v>
      </c>
    </row>
    <row r="316" spans="1:25" x14ac:dyDescent="0.25">
      <c r="A316" s="15">
        <v>46104</v>
      </c>
      <c r="B316" t="s">
        <v>430</v>
      </c>
      <c r="C316" t="s">
        <v>159</v>
      </c>
      <c r="D316" t="s">
        <v>54</v>
      </c>
      <c r="E316" t="s">
        <v>199</v>
      </c>
      <c r="F316" t="s">
        <v>200</v>
      </c>
      <c r="G316" t="s">
        <v>160</v>
      </c>
      <c r="H316" t="s">
        <v>161</v>
      </c>
      <c r="I316" t="s">
        <v>160</v>
      </c>
      <c r="J316" t="s">
        <v>156</v>
      </c>
      <c r="K316" t="s">
        <v>45</v>
      </c>
      <c r="L316">
        <v>27462</v>
      </c>
      <c r="M316">
        <v>42</v>
      </c>
      <c r="N316">
        <v>10</v>
      </c>
      <c r="O316">
        <v>1189.5360000000001</v>
      </c>
      <c r="P316">
        <v>76.900000000000006</v>
      </c>
      <c r="Q316">
        <v>20</v>
      </c>
      <c r="R316">
        <v>5</v>
      </c>
      <c r="S316" t="s">
        <v>116</v>
      </c>
      <c r="T316">
        <v>3</v>
      </c>
      <c r="U316">
        <v>5</v>
      </c>
      <c r="V316">
        <v>0</v>
      </c>
      <c r="W316">
        <v>0</v>
      </c>
      <c r="X316">
        <v>0</v>
      </c>
      <c r="Y316" s="20">
        <f>SUM(Table1[[#This Row],[dty_type_cnt1]:[dty_type_cnt5]])</f>
        <v>8</v>
      </c>
    </row>
    <row r="317" spans="1:25" x14ac:dyDescent="0.25">
      <c r="A317" s="15">
        <v>46104</v>
      </c>
      <c r="B317" t="s">
        <v>430</v>
      </c>
      <c r="C317" t="s">
        <v>159</v>
      </c>
      <c r="D317" t="s">
        <v>54</v>
      </c>
      <c r="E317" t="s">
        <v>201</v>
      </c>
      <c r="F317" t="s">
        <v>202</v>
      </c>
      <c r="G317" t="s">
        <v>160</v>
      </c>
      <c r="H317" t="s">
        <v>161</v>
      </c>
      <c r="I317" t="s">
        <v>160</v>
      </c>
      <c r="J317" t="s">
        <v>156</v>
      </c>
      <c r="K317" t="s">
        <v>45</v>
      </c>
      <c r="L317">
        <v>27462</v>
      </c>
      <c r="M317">
        <v>43</v>
      </c>
      <c r="N317">
        <v>4</v>
      </c>
      <c r="O317">
        <v>585.65599999999995</v>
      </c>
      <c r="P317">
        <v>26.3</v>
      </c>
      <c r="Q317">
        <v>22</v>
      </c>
      <c r="R317">
        <v>2</v>
      </c>
      <c r="S317" t="s">
        <v>116</v>
      </c>
      <c r="T317">
        <v>2</v>
      </c>
      <c r="U317">
        <v>1</v>
      </c>
      <c r="V317">
        <v>1</v>
      </c>
      <c r="W317">
        <v>0</v>
      </c>
      <c r="X317">
        <v>0</v>
      </c>
      <c r="Y317" s="20">
        <f>SUM(Table1[[#This Row],[dty_type_cnt1]:[dty_type_cnt5]])</f>
        <v>4</v>
      </c>
    </row>
    <row r="318" spans="1:25" x14ac:dyDescent="0.25">
      <c r="A318" s="15">
        <v>46104</v>
      </c>
      <c r="B318" t="s">
        <v>430</v>
      </c>
      <c r="C318" t="s">
        <v>159</v>
      </c>
      <c r="D318" t="s">
        <v>54</v>
      </c>
      <c r="E318" t="s">
        <v>203</v>
      </c>
      <c r="F318" t="s">
        <v>204</v>
      </c>
      <c r="G318" t="s">
        <v>160</v>
      </c>
      <c r="H318" t="s">
        <v>161</v>
      </c>
      <c r="I318" t="s">
        <v>160</v>
      </c>
      <c r="J318" t="s">
        <v>156</v>
      </c>
      <c r="K318" t="s">
        <v>45</v>
      </c>
      <c r="L318">
        <v>27462</v>
      </c>
      <c r="M318">
        <v>66</v>
      </c>
      <c r="N318">
        <v>13</v>
      </c>
      <c r="O318">
        <v>3222.6880000000001</v>
      </c>
      <c r="P318">
        <v>253.6</v>
      </c>
      <c r="Q318">
        <v>25</v>
      </c>
      <c r="R318">
        <v>6</v>
      </c>
      <c r="S318" t="s">
        <v>116</v>
      </c>
      <c r="T318">
        <v>6</v>
      </c>
      <c r="U318">
        <v>5</v>
      </c>
      <c r="V318">
        <v>1</v>
      </c>
      <c r="W318">
        <v>0</v>
      </c>
      <c r="X318">
        <v>0</v>
      </c>
      <c r="Y318" s="20">
        <f>SUM(Table1[[#This Row],[dty_type_cnt1]:[dty_type_cnt5]])</f>
        <v>12</v>
      </c>
    </row>
    <row r="319" spans="1:25" x14ac:dyDescent="0.25">
      <c r="A319" s="15">
        <v>46104</v>
      </c>
      <c r="B319" t="s">
        <v>430</v>
      </c>
      <c r="C319" t="s">
        <v>159</v>
      </c>
      <c r="D319" t="s">
        <v>54</v>
      </c>
      <c r="E319" t="s">
        <v>205</v>
      </c>
      <c r="F319" t="s">
        <v>206</v>
      </c>
      <c r="G319" t="s">
        <v>160</v>
      </c>
      <c r="H319" t="s">
        <v>161</v>
      </c>
      <c r="I319" t="s">
        <v>160</v>
      </c>
      <c r="J319" t="s">
        <v>156</v>
      </c>
      <c r="K319" t="s">
        <v>45</v>
      </c>
      <c r="L319">
        <v>27462</v>
      </c>
      <c r="M319">
        <v>33</v>
      </c>
      <c r="N319">
        <v>8</v>
      </c>
      <c r="O319">
        <v>1862.3779999999999</v>
      </c>
      <c r="P319">
        <v>99.07</v>
      </c>
      <c r="Q319">
        <v>30</v>
      </c>
      <c r="R319">
        <v>4</v>
      </c>
      <c r="S319" t="s">
        <v>116</v>
      </c>
      <c r="T319">
        <v>4</v>
      </c>
      <c r="U319">
        <v>2</v>
      </c>
      <c r="V319">
        <v>2</v>
      </c>
      <c r="W319">
        <v>0</v>
      </c>
      <c r="X319">
        <v>0</v>
      </c>
      <c r="Y319" s="20">
        <f>SUM(Table1[[#This Row],[dty_type_cnt1]:[dty_type_cnt5]])</f>
        <v>8</v>
      </c>
    </row>
    <row r="320" spans="1:25" x14ac:dyDescent="0.25">
      <c r="A320" s="15">
        <v>46104</v>
      </c>
      <c r="B320" t="s">
        <v>430</v>
      </c>
      <c r="C320" t="s">
        <v>159</v>
      </c>
      <c r="D320" t="s">
        <v>54</v>
      </c>
      <c r="E320" t="s">
        <v>207</v>
      </c>
      <c r="F320" t="s">
        <v>208</v>
      </c>
      <c r="G320" t="s">
        <v>160</v>
      </c>
      <c r="H320" t="s">
        <v>161</v>
      </c>
      <c r="I320" t="s">
        <v>160</v>
      </c>
      <c r="J320" t="s">
        <v>156</v>
      </c>
      <c r="K320" t="s">
        <v>45</v>
      </c>
      <c r="L320">
        <v>27462</v>
      </c>
      <c r="M320">
        <v>67</v>
      </c>
      <c r="N320">
        <v>8</v>
      </c>
      <c r="O320">
        <v>1813.8869999999999</v>
      </c>
      <c r="P320">
        <v>170.2</v>
      </c>
      <c r="Q320">
        <v>30</v>
      </c>
      <c r="R320">
        <v>4</v>
      </c>
      <c r="S320" t="s">
        <v>116</v>
      </c>
      <c r="T320">
        <v>5</v>
      </c>
      <c r="U320">
        <v>3</v>
      </c>
      <c r="V320">
        <v>1</v>
      </c>
      <c r="W320">
        <v>0</v>
      </c>
      <c r="X320">
        <v>0</v>
      </c>
      <c r="Y320" s="20">
        <f>SUM(Table1[[#This Row],[dty_type_cnt1]:[dty_type_cnt5]])</f>
        <v>9</v>
      </c>
    </row>
    <row r="321" spans="1:25" x14ac:dyDescent="0.25">
      <c r="A321" s="15">
        <v>46105</v>
      </c>
      <c r="B321" t="s">
        <v>430</v>
      </c>
      <c r="C321" t="s">
        <v>159</v>
      </c>
      <c r="D321" t="s">
        <v>54</v>
      </c>
      <c r="E321" t="s">
        <v>209</v>
      </c>
      <c r="F321" t="s">
        <v>210</v>
      </c>
      <c r="G321" t="s">
        <v>160</v>
      </c>
      <c r="H321" t="s">
        <v>161</v>
      </c>
      <c r="I321" t="s">
        <v>160</v>
      </c>
      <c r="J321" t="s">
        <v>156</v>
      </c>
      <c r="K321" t="s">
        <v>45</v>
      </c>
      <c r="L321">
        <v>27462</v>
      </c>
      <c r="M321">
        <v>30</v>
      </c>
      <c r="N321">
        <v>2</v>
      </c>
      <c r="O321">
        <v>329.79300000000001</v>
      </c>
      <c r="P321">
        <v>15.2</v>
      </c>
      <c r="Q321">
        <v>30</v>
      </c>
      <c r="R321">
        <v>1</v>
      </c>
      <c r="S321" t="s">
        <v>116</v>
      </c>
      <c r="T321">
        <v>1</v>
      </c>
      <c r="U321">
        <v>1</v>
      </c>
      <c r="V321">
        <v>0</v>
      </c>
      <c r="W321">
        <v>0</v>
      </c>
      <c r="X321">
        <v>0</v>
      </c>
      <c r="Y321" s="20">
        <f>SUM(Table1[[#This Row],[dty_type_cnt1]:[dty_type_cnt5]])</f>
        <v>2</v>
      </c>
    </row>
    <row r="322" spans="1:25" x14ac:dyDescent="0.25">
      <c r="A322" s="15">
        <v>46105</v>
      </c>
      <c r="B322" t="s">
        <v>430</v>
      </c>
      <c r="C322" t="s">
        <v>159</v>
      </c>
      <c r="D322" t="s">
        <v>46</v>
      </c>
      <c r="E322" t="s">
        <v>215</v>
      </c>
      <c r="F322" t="s">
        <v>216</v>
      </c>
      <c r="G322" t="s">
        <v>160</v>
      </c>
      <c r="H322" t="s">
        <v>161</v>
      </c>
      <c r="I322" t="s">
        <v>160</v>
      </c>
      <c r="J322" t="s">
        <v>0</v>
      </c>
      <c r="K322" t="s">
        <v>45</v>
      </c>
      <c r="L322">
        <v>27462</v>
      </c>
      <c r="M322">
        <v>33</v>
      </c>
      <c r="N322">
        <v>6</v>
      </c>
      <c r="O322">
        <v>1003.4640000000001</v>
      </c>
      <c r="P322">
        <v>57.09</v>
      </c>
      <c r="Q322">
        <v>30</v>
      </c>
      <c r="R322">
        <v>3</v>
      </c>
      <c r="S322" t="s">
        <v>116</v>
      </c>
      <c r="T322">
        <v>3</v>
      </c>
      <c r="U322">
        <v>3</v>
      </c>
      <c r="V322">
        <v>0</v>
      </c>
      <c r="W322">
        <v>0</v>
      </c>
      <c r="X322">
        <v>0</v>
      </c>
      <c r="Y322" s="20">
        <f>SUM(Table1[[#This Row],[dty_type_cnt1]:[dty_type_cnt5]])</f>
        <v>6</v>
      </c>
    </row>
    <row r="323" spans="1:25" x14ac:dyDescent="0.25">
      <c r="A323" s="15">
        <v>46105</v>
      </c>
      <c r="B323" t="s">
        <v>430</v>
      </c>
      <c r="C323" t="s">
        <v>159</v>
      </c>
      <c r="D323" t="s">
        <v>46</v>
      </c>
      <c r="E323" t="s">
        <v>217</v>
      </c>
      <c r="F323" t="s">
        <v>218</v>
      </c>
      <c r="G323" t="s">
        <v>160</v>
      </c>
      <c r="H323" t="s">
        <v>161</v>
      </c>
      <c r="I323" t="s">
        <v>160</v>
      </c>
      <c r="J323" t="s">
        <v>0</v>
      </c>
      <c r="K323" t="s">
        <v>45</v>
      </c>
      <c r="L323">
        <v>27462</v>
      </c>
      <c r="M323">
        <v>15</v>
      </c>
      <c r="N323">
        <v>2</v>
      </c>
      <c r="O323">
        <v>206.11500000000001</v>
      </c>
      <c r="P323">
        <v>40.299999999999997</v>
      </c>
      <c r="Q323">
        <v>60</v>
      </c>
      <c r="R323">
        <v>1</v>
      </c>
      <c r="S323" t="s">
        <v>116</v>
      </c>
      <c r="T323">
        <v>1</v>
      </c>
      <c r="U323">
        <v>1</v>
      </c>
      <c r="V323">
        <v>0</v>
      </c>
      <c r="W323">
        <v>0</v>
      </c>
      <c r="X323">
        <v>0</v>
      </c>
      <c r="Y323" s="20">
        <f>SUM(Table1[[#This Row],[dty_type_cnt1]:[dty_type_cnt5]])</f>
        <v>2</v>
      </c>
    </row>
    <row r="324" spans="1:25" x14ac:dyDescent="0.25">
      <c r="A324" s="15">
        <v>46105</v>
      </c>
      <c r="B324" t="s">
        <v>430</v>
      </c>
      <c r="C324" t="s">
        <v>159</v>
      </c>
      <c r="D324" t="s">
        <v>46</v>
      </c>
      <c r="E324" t="s">
        <v>219</v>
      </c>
      <c r="F324" t="s">
        <v>220</v>
      </c>
      <c r="G324" t="s">
        <v>160</v>
      </c>
      <c r="H324" t="s">
        <v>161</v>
      </c>
      <c r="I324" t="s">
        <v>160</v>
      </c>
      <c r="J324" t="s">
        <v>0</v>
      </c>
      <c r="K324" t="s">
        <v>45</v>
      </c>
      <c r="L324">
        <v>27462</v>
      </c>
      <c r="M324">
        <v>15</v>
      </c>
      <c r="N324">
        <v>2</v>
      </c>
      <c r="O324">
        <v>264.04500000000002</v>
      </c>
      <c r="P324">
        <v>28.3</v>
      </c>
      <c r="Q324">
        <v>60</v>
      </c>
      <c r="R324">
        <v>1</v>
      </c>
      <c r="S324" t="s">
        <v>116</v>
      </c>
      <c r="T324">
        <v>1</v>
      </c>
      <c r="U324">
        <v>0</v>
      </c>
      <c r="V324">
        <v>1</v>
      </c>
      <c r="W324">
        <v>0</v>
      </c>
      <c r="X324">
        <v>0</v>
      </c>
      <c r="Y324" s="20">
        <f>SUM(Table1[[#This Row],[dty_type_cnt1]:[dty_type_cnt5]])</f>
        <v>2</v>
      </c>
    </row>
    <row r="325" spans="1:25" x14ac:dyDescent="0.25">
      <c r="A325" s="15">
        <v>46105</v>
      </c>
      <c r="B325" t="s">
        <v>430</v>
      </c>
      <c r="C325" t="s">
        <v>159</v>
      </c>
      <c r="D325" t="s">
        <v>46</v>
      </c>
      <c r="E325" t="s">
        <v>221</v>
      </c>
      <c r="F325" t="s">
        <v>222</v>
      </c>
      <c r="G325" t="s">
        <v>160</v>
      </c>
      <c r="H325" t="s">
        <v>161</v>
      </c>
      <c r="I325" t="s">
        <v>160</v>
      </c>
      <c r="J325" t="s">
        <v>0</v>
      </c>
      <c r="K325" t="s">
        <v>45</v>
      </c>
      <c r="L325">
        <v>27462</v>
      </c>
      <c r="M325">
        <v>34</v>
      </c>
      <c r="N325">
        <v>4</v>
      </c>
      <c r="O325">
        <v>693.32799999999997</v>
      </c>
      <c r="P325">
        <v>80.599999999999994</v>
      </c>
      <c r="Q325">
        <v>30</v>
      </c>
      <c r="R325">
        <v>2</v>
      </c>
      <c r="S325" t="s">
        <v>116</v>
      </c>
      <c r="T325">
        <v>2</v>
      </c>
      <c r="U325">
        <v>2</v>
      </c>
      <c r="V325">
        <v>0</v>
      </c>
      <c r="W325">
        <v>0</v>
      </c>
      <c r="X325">
        <v>0</v>
      </c>
      <c r="Y325" s="20">
        <f>SUM(Table1[[#This Row],[dty_type_cnt1]:[dty_type_cnt5]])</f>
        <v>4</v>
      </c>
    </row>
    <row r="326" spans="1:25" x14ac:dyDescent="0.25">
      <c r="A326" s="15">
        <v>46106</v>
      </c>
      <c r="B326" t="s">
        <v>430</v>
      </c>
      <c r="C326" t="s">
        <v>159</v>
      </c>
      <c r="D326" t="s">
        <v>55</v>
      </c>
      <c r="E326" t="s">
        <v>223</v>
      </c>
      <c r="F326" t="s">
        <v>224</v>
      </c>
      <c r="G326" t="s">
        <v>160</v>
      </c>
      <c r="H326" t="s">
        <v>161</v>
      </c>
      <c r="I326" t="s">
        <v>160</v>
      </c>
      <c r="J326" t="s">
        <v>0</v>
      </c>
      <c r="K326" t="s">
        <v>45</v>
      </c>
      <c r="L326">
        <v>27462</v>
      </c>
      <c r="M326">
        <v>39</v>
      </c>
      <c r="N326">
        <v>2</v>
      </c>
      <c r="O326">
        <v>134.35499999999999</v>
      </c>
      <c r="P326">
        <v>38.200000000000003</v>
      </c>
      <c r="Q326">
        <v>20</v>
      </c>
      <c r="R326">
        <v>1</v>
      </c>
      <c r="S326" t="s">
        <v>116</v>
      </c>
      <c r="T326">
        <v>1</v>
      </c>
      <c r="U326">
        <v>0</v>
      </c>
      <c r="V326">
        <v>1</v>
      </c>
      <c r="W326">
        <v>0</v>
      </c>
      <c r="X326">
        <v>0</v>
      </c>
      <c r="Y326" s="20">
        <f>SUM(Table1[[#This Row],[dty_type_cnt1]:[dty_type_cnt5]])</f>
        <v>2</v>
      </c>
    </row>
    <row r="327" spans="1:25" x14ac:dyDescent="0.25">
      <c r="A327" s="15">
        <v>46106</v>
      </c>
      <c r="B327" t="s">
        <v>430</v>
      </c>
      <c r="C327" t="s">
        <v>159</v>
      </c>
      <c r="D327" t="s">
        <v>55</v>
      </c>
      <c r="E327" t="s">
        <v>225</v>
      </c>
      <c r="F327" t="s">
        <v>226</v>
      </c>
      <c r="G327" t="s">
        <v>160</v>
      </c>
      <c r="H327" t="s">
        <v>161</v>
      </c>
      <c r="I327" t="s">
        <v>160</v>
      </c>
      <c r="J327" t="s">
        <v>0</v>
      </c>
      <c r="K327" t="s">
        <v>45</v>
      </c>
      <c r="L327">
        <v>27462</v>
      </c>
      <c r="M327">
        <v>39</v>
      </c>
      <c r="N327">
        <v>2</v>
      </c>
      <c r="O327">
        <v>129.714</v>
      </c>
      <c r="P327">
        <v>29.4</v>
      </c>
      <c r="Q327">
        <v>20</v>
      </c>
      <c r="R327">
        <v>1</v>
      </c>
      <c r="S327" t="s">
        <v>116</v>
      </c>
      <c r="T327">
        <v>1</v>
      </c>
      <c r="U327">
        <v>0</v>
      </c>
      <c r="V327">
        <v>1</v>
      </c>
      <c r="W327">
        <v>0</v>
      </c>
      <c r="X327">
        <v>0</v>
      </c>
      <c r="Y327" s="20">
        <f>SUM(Table1[[#This Row],[dty_type_cnt1]:[dty_type_cnt5]])</f>
        <v>2</v>
      </c>
    </row>
    <row r="328" spans="1:25" x14ac:dyDescent="0.25">
      <c r="A328" s="15">
        <v>46106</v>
      </c>
      <c r="B328" t="s">
        <v>430</v>
      </c>
      <c r="C328" t="s">
        <v>159</v>
      </c>
      <c r="D328" t="s">
        <v>101</v>
      </c>
      <c r="E328" t="s">
        <v>227</v>
      </c>
      <c r="F328" t="s">
        <v>228</v>
      </c>
      <c r="G328" t="s">
        <v>160</v>
      </c>
      <c r="H328" t="s">
        <v>161</v>
      </c>
      <c r="I328" t="s">
        <v>160</v>
      </c>
      <c r="J328" t="s">
        <v>156</v>
      </c>
      <c r="K328" t="s">
        <v>45</v>
      </c>
      <c r="L328">
        <v>27462</v>
      </c>
      <c r="M328">
        <v>38</v>
      </c>
      <c r="N328">
        <v>28</v>
      </c>
      <c r="O328">
        <v>2520.989</v>
      </c>
      <c r="P328">
        <v>992</v>
      </c>
      <c r="Q328">
        <v>20</v>
      </c>
      <c r="R328">
        <v>14</v>
      </c>
      <c r="S328" t="s">
        <v>116</v>
      </c>
      <c r="T328">
        <v>0</v>
      </c>
      <c r="U328">
        <v>0</v>
      </c>
      <c r="V328">
        <v>14</v>
      </c>
      <c r="W328">
        <v>0</v>
      </c>
      <c r="X328">
        <v>0</v>
      </c>
      <c r="Y328" s="20">
        <f>SUM(Table1[[#This Row],[dty_type_cnt1]:[dty_type_cnt5]])</f>
        <v>14</v>
      </c>
    </row>
    <row r="329" spans="1:25" x14ac:dyDescent="0.25">
      <c r="A329" s="15">
        <v>46106</v>
      </c>
      <c r="B329" t="s">
        <v>430</v>
      </c>
      <c r="C329" t="s">
        <v>159</v>
      </c>
      <c r="D329" t="s">
        <v>49</v>
      </c>
      <c r="E329" t="s">
        <v>229</v>
      </c>
      <c r="F329" t="s">
        <v>230</v>
      </c>
      <c r="G329" t="s">
        <v>160</v>
      </c>
      <c r="H329" t="s">
        <v>161</v>
      </c>
      <c r="I329" t="s">
        <v>160</v>
      </c>
      <c r="J329" t="s">
        <v>171</v>
      </c>
      <c r="K329" t="s">
        <v>45</v>
      </c>
      <c r="L329">
        <v>27462</v>
      </c>
      <c r="M329">
        <v>76</v>
      </c>
      <c r="N329">
        <v>24</v>
      </c>
      <c r="O329">
        <v>4077.6060000000002</v>
      </c>
      <c r="P329">
        <v>690.4</v>
      </c>
      <c r="Q329">
        <v>30</v>
      </c>
      <c r="R329">
        <v>10</v>
      </c>
      <c r="S329" t="s">
        <v>116</v>
      </c>
      <c r="T329">
        <v>10</v>
      </c>
      <c r="U329">
        <v>6</v>
      </c>
      <c r="V329">
        <v>4</v>
      </c>
      <c r="W329">
        <v>0</v>
      </c>
      <c r="X329">
        <v>0</v>
      </c>
      <c r="Y329" s="20">
        <f>SUM(Table1[[#This Row],[dty_type_cnt1]:[dty_type_cnt5]])</f>
        <v>20</v>
      </c>
    </row>
    <row r="330" spans="1:25" x14ac:dyDescent="0.25">
      <c r="A330" s="15">
        <v>46106</v>
      </c>
      <c r="B330" t="s">
        <v>430</v>
      </c>
      <c r="C330" t="s">
        <v>159</v>
      </c>
      <c r="D330" t="s">
        <v>49</v>
      </c>
      <c r="E330" t="s">
        <v>231</v>
      </c>
      <c r="F330" t="s">
        <v>232</v>
      </c>
      <c r="G330" t="s">
        <v>160</v>
      </c>
      <c r="H330" t="s">
        <v>161</v>
      </c>
      <c r="I330" t="s">
        <v>160</v>
      </c>
      <c r="J330" t="s">
        <v>156</v>
      </c>
      <c r="K330" t="s">
        <v>45</v>
      </c>
      <c r="L330">
        <v>27462</v>
      </c>
      <c r="M330">
        <v>26</v>
      </c>
      <c r="N330">
        <v>6</v>
      </c>
      <c r="O330">
        <v>1279.2</v>
      </c>
      <c r="P330">
        <v>56.7</v>
      </c>
      <c r="Q330">
        <v>30</v>
      </c>
      <c r="R330">
        <v>2</v>
      </c>
      <c r="S330" t="s">
        <v>116</v>
      </c>
      <c r="T330">
        <v>2</v>
      </c>
      <c r="U330">
        <v>2</v>
      </c>
      <c r="V330">
        <v>0</v>
      </c>
      <c r="W330">
        <v>0</v>
      </c>
      <c r="X330">
        <v>0</v>
      </c>
      <c r="Y330" s="20">
        <f>SUM(Table1[[#This Row],[dty_type_cnt1]:[dty_type_cnt5]])</f>
        <v>4</v>
      </c>
    </row>
    <row r="331" spans="1:25" x14ac:dyDescent="0.25">
      <c r="A331" s="15">
        <v>46107</v>
      </c>
      <c r="B331" t="s">
        <v>430</v>
      </c>
      <c r="C331" t="s">
        <v>159</v>
      </c>
      <c r="D331" t="s">
        <v>49</v>
      </c>
      <c r="E331" t="s">
        <v>135</v>
      </c>
      <c r="F331" t="s">
        <v>136</v>
      </c>
      <c r="G331" t="s">
        <v>160</v>
      </c>
      <c r="H331" t="s">
        <v>161</v>
      </c>
      <c r="I331" t="s">
        <v>160</v>
      </c>
      <c r="J331" t="s">
        <v>156</v>
      </c>
      <c r="K331" t="s">
        <v>45</v>
      </c>
      <c r="L331">
        <v>27462</v>
      </c>
      <c r="M331">
        <v>14</v>
      </c>
      <c r="N331">
        <v>4</v>
      </c>
      <c r="O331">
        <v>940.83199999999999</v>
      </c>
      <c r="P331">
        <v>34.4</v>
      </c>
      <c r="Q331">
        <v>30</v>
      </c>
      <c r="R331">
        <v>2</v>
      </c>
      <c r="S331" t="s">
        <v>116</v>
      </c>
      <c r="T331">
        <v>1</v>
      </c>
      <c r="U331">
        <v>2</v>
      </c>
      <c r="V331">
        <v>0</v>
      </c>
      <c r="W331">
        <v>0</v>
      </c>
      <c r="X331">
        <v>0</v>
      </c>
      <c r="Y331" s="20">
        <f>SUM(Table1[[#This Row],[dty_type_cnt1]:[dty_type_cnt5]])</f>
        <v>3</v>
      </c>
    </row>
    <row r="332" spans="1:25" x14ac:dyDescent="0.25">
      <c r="A332" s="15">
        <v>46107</v>
      </c>
      <c r="B332" t="s">
        <v>430</v>
      </c>
      <c r="C332" t="s">
        <v>159</v>
      </c>
      <c r="D332" t="s">
        <v>46</v>
      </c>
      <c r="E332">
        <v>8</v>
      </c>
      <c r="F332" t="s">
        <v>61</v>
      </c>
      <c r="G332" t="s">
        <v>160</v>
      </c>
      <c r="H332" t="s">
        <v>161</v>
      </c>
      <c r="I332" t="s">
        <v>160</v>
      </c>
      <c r="J332" t="s">
        <v>0</v>
      </c>
      <c r="K332" t="s">
        <v>59</v>
      </c>
      <c r="L332">
        <v>27463</v>
      </c>
      <c r="M332">
        <v>36</v>
      </c>
      <c r="N332">
        <v>10</v>
      </c>
      <c r="O332">
        <v>1349.386</v>
      </c>
      <c r="P332">
        <v>24.5</v>
      </c>
      <c r="Q332">
        <v>25</v>
      </c>
      <c r="R332">
        <v>5</v>
      </c>
      <c r="S332" t="s">
        <v>116</v>
      </c>
      <c r="T332">
        <v>4</v>
      </c>
      <c r="U332">
        <v>5</v>
      </c>
      <c r="V332">
        <v>0</v>
      </c>
      <c r="W332">
        <v>0</v>
      </c>
      <c r="X332">
        <v>0</v>
      </c>
      <c r="Y332" s="20">
        <f>SUM(Table1[[#This Row],[dty_type_cnt1]:[dty_type_cnt5]])</f>
        <v>9</v>
      </c>
    </row>
    <row r="333" spans="1:25" x14ac:dyDescent="0.25">
      <c r="A333" s="15">
        <v>46107</v>
      </c>
      <c r="B333" t="s">
        <v>430</v>
      </c>
      <c r="C333" t="s">
        <v>159</v>
      </c>
      <c r="D333" t="s">
        <v>46</v>
      </c>
      <c r="E333">
        <v>56</v>
      </c>
      <c r="F333" t="s">
        <v>162</v>
      </c>
      <c r="G333" t="s">
        <v>160</v>
      </c>
      <c r="H333" t="s">
        <v>161</v>
      </c>
      <c r="I333" t="s">
        <v>160</v>
      </c>
      <c r="J333" t="s">
        <v>156</v>
      </c>
      <c r="K333" t="s">
        <v>59</v>
      </c>
      <c r="L333">
        <v>27463</v>
      </c>
      <c r="M333">
        <v>14</v>
      </c>
      <c r="N333">
        <v>2</v>
      </c>
      <c r="O333">
        <v>420.483</v>
      </c>
      <c r="P333">
        <v>49.1</v>
      </c>
      <c r="Q333">
        <v>115</v>
      </c>
      <c r="R333">
        <v>1</v>
      </c>
      <c r="S333" t="s">
        <v>116</v>
      </c>
      <c r="T333">
        <v>1</v>
      </c>
      <c r="U333">
        <v>1</v>
      </c>
      <c r="V333">
        <v>0</v>
      </c>
      <c r="W333">
        <v>0</v>
      </c>
      <c r="X333">
        <v>0</v>
      </c>
      <c r="Y333" s="20">
        <f>SUM(Table1[[#This Row],[dty_type_cnt1]:[dty_type_cnt5]])</f>
        <v>2</v>
      </c>
    </row>
    <row r="334" spans="1:25" x14ac:dyDescent="0.25">
      <c r="A334" s="15">
        <v>46107</v>
      </c>
      <c r="B334" t="s">
        <v>430</v>
      </c>
      <c r="C334" t="s">
        <v>159</v>
      </c>
      <c r="D334" t="s">
        <v>46</v>
      </c>
      <c r="E334">
        <v>83</v>
      </c>
      <c r="F334" t="s">
        <v>163</v>
      </c>
      <c r="G334" t="s">
        <v>160</v>
      </c>
      <c r="H334" t="s">
        <v>161</v>
      </c>
      <c r="I334" t="s">
        <v>160</v>
      </c>
      <c r="J334" t="s">
        <v>0</v>
      </c>
      <c r="K334" t="s">
        <v>59</v>
      </c>
      <c r="L334">
        <v>27463</v>
      </c>
      <c r="M334">
        <v>7</v>
      </c>
      <c r="N334">
        <v>4</v>
      </c>
      <c r="O334">
        <v>248.32</v>
      </c>
      <c r="P334">
        <v>78.099999999999994</v>
      </c>
      <c r="Q334">
        <v>45</v>
      </c>
      <c r="R334">
        <v>1</v>
      </c>
      <c r="S334" t="s">
        <v>116</v>
      </c>
      <c r="T334">
        <v>1</v>
      </c>
      <c r="U334">
        <v>1</v>
      </c>
      <c r="V334">
        <v>0</v>
      </c>
      <c r="W334">
        <v>0</v>
      </c>
      <c r="X334">
        <v>0</v>
      </c>
      <c r="Y334" s="20">
        <f>SUM(Table1[[#This Row],[dty_type_cnt1]:[dty_type_cnt5]])</f>
        <v>2</v>
      </c>
    </row>
    <row r="335" spans="1:25" x14ac:dyDescent="0.25">
      <c r="A335" s="15">
        <v>46107</v>
      </c>
      <c r="B335" t="s">
        <v>430</v>
      </c>
      <c r="C335" t="s">
        <v>159</v>
      </c>
      <c r="D335" t="s">
        <v>46</v>
      </c>
      <c r="E335">
        <v>84</v>
      </c>
      <c r="F335" t="s">
        <v>164</v>
      </c>
      <c r="G335" t="s">
        <v>160</v>
      </c>
      <c r="H335" t="s">
        <v>161</v>
      </c>
      <c r="I335" t="s">
        <v>160</v>
      </c>
      <c r="J335" t="s">
        <v>156</v>
      </c>
      <c r="K335" t="s">
        <v>59</v>
      </c>
      <c r="L335">
        <v>27463</v>
      </c>
      <c r="M335">
        <v>26</v>
      </c>
      <c r="N335">
        <v>10</v>
      </c>
      <c r="O335">
        <v>579.95299999999997</v>
      </c>
      <c r="P335">
        <v>116</v>
      </c>
      <c r="Q335">
        <v>20</v>
      </c>
      <c r="R335">
        <v>4</v>
      </c>
      <c r="S335" t="s">
        <v>116</v>
      </c>
      <c r="T335">
        <v>2</v>
      </c>
      <c r="U335">
        <v>4</v>
      </c>
      <c r="V335">
        <v>0</v>
      </c>
      <c r="W335">
        <v>0</v>
      </c>
      <c r="X335">
        <v>0</v>
      </c>
      <c r="Y335" s="20">
        <f>SUM(Table1[[#This Row],[dty_type_cnt1]:[dty_type_cnt5]])</f>
        <v>6</v>
      </c>
    </row>
    <row r="336" spans="1:25" x14ac:dyDescent="0.25">
      <c r="A336" s="15">
        <v>46101</v>
      </c>
      <c r="B336" t="s">
        <v>430</v>
      </c>
      <c r="C336" t="s">
        <v>159</v>
      </c>
      <c r="D336" t="s">
        <v>46</v>
      </c>
      <c r="E336">
        <v>88</v>
      </c>
      <c r="F336" t="s">
        <v>119</v>
      </c>
      <c r="G336" t="s">
        <v>160</v>
      </c>
      <c r="H336" t="s">
        <v>161</v>
      </c>
      <c r="I336" t="s">
        <v>160</v>
      </c>
      <c r="J336" t="s">
        <v>0</v>
      </c>
      <c r="K336" t="s">
        <v>59</v>
      </c>
      <c r="L336">
        <v>27463</v>
      </c>
      <c r="M336">
        <v>30</v>
      </c>
      <c r="N336">
        <v>8</v>
      </c>
      <c r="O336">
        <v>927.22400000000005</v>
      </c>
      <c r="P336">
        <v>194.2</v>
      </c>
      <c r="Q336">
        <v>30</v>
      </c>
      <c r="R336">
        <v>4</v>
      </c>
      <c r="S336" t="s">
        <v>116</v>
      </c>
      <c r="T336">
        <v>4</v>
      </c>
      <c r="U336">
        <v>4</v>
      </c>
      <c r="V336">
        <v>0</v>
      </c>
      <c r="W336">
        <v>0</v>
      </c>
      <c r="X336">
        <v>0</v>
      </c>
      <c r="Y336" s="20">
        <f>SUM(Table1[[#This Row],[dty_type_cnt1]:[dty_type_cnt5]])</f>
        <v>8</v>
      </c>
    </row>
    <row r="337" spans="1:25" x14ac:dyDescent="0.25">
      <c r="A337" s="15">
        <v>46101</v>
      </c>
      <c r="B337" t="s">
        <v>430</v>
      </c>
      <c r="C337" t="s">
        <v>159</v>
      </c>
      <c r="D337" t="s">
        <v>46</v>
      </c>
      <c r="E337" t="s">
        <v>165</v>
      </c>
      <c r="F337" t="s">
        <v>166</v>
      </c>
      <c r="G337" t="s">
        <v>160</v>
      </c>
      <c r="H337" t="s">
        <v>161</v>
      </c>
      <c r="I337" t="s">
        <v>160</v>
      </c>
      <c r="J337" t="s">
        <v>63</v>
      </c>
      <c r="K337" t="s">
        <v>59</v>
      </c>
      <c r="L337">
        <v>27463</v>
      </c>
      <c r="M337">
        <v>36</v>
      </c>
      <c r="N337">
        <v>12</v>
      </c>
      <c r="O337">
        <v>1092.1289999999999</v>
      </c>
      <c r="P337">
        <v>191.6</v>
      </c>
      <c r="Q337">
        <v>40</v>
      </c>
      <c r="R337">
        <v>4</v>
      </c>
      <c r="S337" t="s">
        <v>116</v>
      </c>
      <c r="T337">
        <v>4</v>
      </c>
      <c r="U337">
        <v>2</v>
      </c>
      <c r="V337">
        <v>1</v>
      </c>
      <c r="W337">
        <v>0</v>
      </c>
      <c r="X337">
        <v>0</v>
      </c>
      <c r="Y337" s="20">
        <f>SUM(Table1[[#This Row],[dty_type_cnt1]:[dty_type_cnt5]])</f>
        <v>7</v>
      </c>
    </row>
    <row r="338" spans="1:25" x14ac:dyDescent="0.25">
      <c r="A338" s="15">
        <v>46101</v>
      </c>
      <c r="B338" t="s">
        <v>430</v>
      </c>
      <c r="C338" t="s">
        <v>159</v>
      </c>
      <c r="D338" t="s">
        <v>46</v>
      </c>
      <c r="E338">
        <v>96</v>
      </c>
      <c r="F338" t="s">
        <v>167</v>
      </c>
      <c r="G338" t="s">
        <v>160</v>
      </c>
      <c r="H338" t="s">
        <v>161</v>
      </c>
      <c r="I338" t="s">
        <v>160</v>
      </c>
      <c r="J338" t="s">
        <v>156</v>
      </c>
      <c r="K338" t="s">
        <v>59</v>
      </c>
      <c r="L338">
        <v>27463</v>
      </c>
      <c r="M338">
        <v>16</v>
      </c>
      <c r="N338">
        <v>4</v>
      </c>
      <c r="O338">
        <v>802.66200000000003</v>
      </c>
      <c r="P338">
        <v>34.4</v>
      </c>
      <c r="Q338">
        <v>30</v>
      </c>
      <c r="R338">
        <v>2</v>
      </c>
      <c r="S338" t="s">
        <v>116</v>
      </c>
      <c r="T338">
        <v>2</v>
      </c>
      <c r="U338">
        <v>1</v>
      </c>
      <c r="V338">
        <v>1</v>
      </c>
      <c r="W338">
        <v>0</v>
      </c>
      <c r="X338">
        <v>0</v>
      </c>
      <c r="Y338" s="20">
        <f>SUM(Table1[[#This Row],[dty_type_cnt1]:[dty_type_cnt5]])</f>
        <v>4</v>
      </c>
    </row>
    <row r="339" spans="1:25" x14ac:dyDescent="0.25">
      <c r="A339" s="15">
        <v>46101</v>
      </c>
      <c r="B339" t="s">
        <v>430</v>
      </c>
      <c r="C339" t="s">
        <v>159</v>
      </c>
      <c r="D339" t="s">
        <v>46</v>
      </c>
      <c r="E339">
        <v>99</v>
      </c>
      <c r="F339" t="s">
        <v>168</v>
      </c>
      <c r="G339" t="s">
        <v>160</v>
      </c>
      <c r="H339" t="s">
        <v>161</v>
      </c>
      <c r="I339" t="s">
        <v>160</v>
      </c>
      <c r="J339" t="s">
        <v>63</v>
      </c>
      <c r="K339" t="s">
        <v>59</v>
      </c>
      <c r="L339">
        <v>27463</v>
      </c>
      <c r="M339">
        <v>74</v>
      </c>
      <c r="N339">
        <v>8</v>
      </c>
      <c r="O339">
        <v>643.20799999999997</v>
      </c>
      <c r="P339">
        <v>146.75</v>
      </c>
      <c r="Q339">
        <v>20</v>
      </c>
      <c r="R339">
        <v>4</v>
      </c>
      <c r="S339" t="s">
        <v>116</v>
      </c>
      <c r="T339">
        <v>5</v>
      </c>
      <c r="U339">
        <v>2</v>
      </c>
      <c r="V339">
        <v>1</v>
      </c>
      <c r="W339">
        <v>0</v>
      </c>
      <c r="X339">
        <v>0</v>
      </c>
      <c r="Y339" s="20">
        <f>SUM(Table1[[#This Row],[dty_type_cnt1]:[dty_type_cnt5]])</f>
        <v>8</v>
      </c>
    </row>
    <row r="340" spans="1:25" x14ac:dyDescent="0.25">
      <c r="A340" s="15">
        <v>46101</v>
      </c>
      <c r="B340" t="s">
        <v>430</v>
      </c>
      <c r="C340" t="s">
        <v>159</v>
      </c>
      <c r="D340" t="s">
        <v>55</v>
      </c>
      <c r="E340" t="s">
        <v>169</v>
      </c>
      <c r="F340" t="s">
        <v>170</v>
      </c>
      <c r="G340" t="s">
        <v>160</v>
      </c>
      <c r="H340" t="s">
        <v>161</v>
      </c>
      <c r="I340" t="s">
        <v>160</v>
      </c>
      <c r="J340" t="s">
        <v>171</v>
      </c>
      <c r="K340" t="s">
        <v>59</v>
      </c>
      <c r="L340">
        <v>27463</v>
      </c>
      <c r="M340">
        <v>9</v>
      </c>
      <c r="N340">
        <v>10</v>
      </c>
      <c r="O340">
        <v>386.43900000000002</v>
      </c>
      <c r="P340">
        <v>58.48</v>
      </c>
      <c r="Q340">
        <v>120</v>
      </c>
      <c r="R340">
        <v>1</v>
      </c>
      <c r="S340" t="s">
        <v>116</v>
      </c>
      <c r="T340">
        <v>1</v>
      </c>
      <c r="U340">
        <v>1</v>
      </c>
      <c r="V340">
        <v>0</v>
      </c>
      <c r="W340">
        <v>0</v>
      </c>
      <c r="X340">
        <v>0</v>
      </c>
      <c r="Y340" s="20">
        <f>SUM(Table1[[#This Row],[dty_type_cnt1]:[dty_type_cnt5]])</f>
        <v>2</v>
      </c>
    </row>
    <row r="341" spans="1:25" x14ac:dyDescent="0.25">
      <c r="A341" s="15">
        <v>46101</v>
      </c>
      <c r="B341" t="s">
        <v>430</v>
      </c>
      <c r="C341" t="s">
        <v>159</v>
      </c>
      <c r="D341" t="s">
        <v>55</v>
      </c>
      <c r="E341" t="s">
        <v>172</v>
      </c>
      <c r="F341" t="s">
        <v>173</v>
      </c>
      <c r="G341" t="s">
        <v>160</v>
      </c>
      <c r="H341" t="s">
        <v>161</v>
      </c>
      <c r="I341" t="s">
        <v>160</v>
      </c>
      <c r="J341" t="s">
        <v>0</v>
      </c>
      <c r="K341" t="s">
        <v>59</v>
      </c>
      <c r="L341">
        <v>27463</v>
      </c>
      <c r="M341">
        <v>26</v>
      </c>
      <c r="N341">
        <v>2</v>
      </c>
      <c r="O341">
        <v>657.56899999999996</v>
      </c>
      <c r="P341">
        <v>0.2</v>
      </c>
      <c r="Q341">
        <v>75</v>
      </c>
      <c r="R341">
        <v>1</v>
      </c>
      <c r="S341" t="s">
        <v>116</v>
      </c>
      <c r="T341">
        <v>1</v>
      </c>
      <c r="U341">
        <v>1</v>
      </c>
      <c r="V341">
        <v>0</v>
      </c>
      <c r="W341">
        <v>0</v>
      </c>
      <c r="X341">
        <v>0</v>
      </c>
      <c r="Y341" s="20">
        <f>SUM(Table1[[#This Row],[dty_type_cnt1]:[dty_type_cnt5]])</f>
        <v>2</v>
      </c>
    </row>
    <row r="342" spans="1:25" x14ac:dyDescent="0.25">
      <c r="A342" s="15">
        <v>46102</v>
      </c>
      <c r="B342" t="s">
        <v>430</v>
      </c>
      <c r="C342" t="s">
        <v>159</v>
      </c>
      <c r="D342" t="s">
        <v>55</v>
      </c>
      <c r="E342" t="s">
        <v>174</v>
      </c>
      <c r="F342" t="s">
        <v>175</v>
      </c>
      <c r="G342" t="s">
        <v>160</v>
      </c>
      <c r="H342" t="s">
        <v>161</v>
      </c>
      <c r="I342" t="s">
        <v>160</v>
      </c>
      <c r="J342" t="s">
        <v>156</v>
      </c>
      <c r="K342" t="s">
        <v>59</v>
      </c>
      <c r="L342">
        <v>27463</v>
      </c>
      <c r="M342">
        <v>13</v>
      </c>
      <c r="N342">
        <v>2</v>
      </c>
      <c r="O342">
        <v>526.90300000000002</v>
      </c>
      <c r="P342">
        <v>21.7</v>
      </c>
      <c r="Q342">
        <v>90</v>
      </c>
      <c r="R342">
        <v>1</v>
      </c>
      <c r="S342" t="s">
        <v>116</v>
      </c>
      <c r="T342">
        <v>1</v>
      </c>
      <c r="U342">
        <v>1</v>
      </c>
      <c r="V342">
        <v>1</v>
      </c>
      <c r="W342">
        <v>0</v>
      </c>
      <c r="X342">
        <v>0</v>
      </c>
      <c r="Y342" s="20">
        <f>SUM(Table1[[#This Row],[dty_type_cnt1]:[dty_type_cnt5]])</f>
        <v>3</v>
      </c>
    </row>
    <row r="343" spans="1:25" x14ac:dyDescent="0.25">
      <c r="A343" s="15">
        <v>46102</v>
      </c>
      <c r="B343" t="s">
        <v>430</v>
      </c>
      <c r="C343" t="s">
        <v>159</v>
      </c>
      <c r="D343" t="s">
        <v>176</v>
      </c>
      <c r="E343" t="s">
        <v>177</v>
      </c>
      <c r="F343" t="s">
        <v>178</v>
      </c>
      <c r="G343" t="s">
        <v>160</v>
      </c>
      <c r="H343" t="s">
        <v>161</v>
      </c>
      <c r="I343" t="s">
        <v>160</v>
      </c>
      <c r="J343" t="s">
        <v>171</v>
      </c>
      <c r="K343" t="s">
        <v>59</v>
      </c>
      <c r="L343">
        <v>27463</v>
      </c>
      <c r="M343">
        <v>109</v>
      </c>
      <c r="N343">
        <v>26</v>
      </c>
      <c r="O343">
        <v>12749.794</v>
      </c>
      <c r="P343">
        <v>772.6</v>
      </c>
      <c r="Q343">
        <v>20</v>
      </c>
      <c r="R343">
        <v>13</v>
      </c>
      <c r="S343" t="s">
        <v>116</v>
      </c>
      <c r="T343">
        <v>16</v>
      </c>
      <c r="U343">
        <v>9</v>
      </c>
      <c r="V343">
        <v>6</v>
      </c>
      <c r="W343">
        <v>0</v>
      </c>
      <c r="X343">
        <v>0</v>
      </c>
      <c r="Y343" s="20">
        <f>SUM(Table1[[#This Row],[dty_type_cnt1]:[dty_type_cnt5]])</f>
        <v>31</v>
      </c>
    </row>
    <row r="344" spans="1:25" x14ac:dyDescent="0.25">
      <c r="A344" s="15">
        <v>46102</v>
      </c>
      <c r="B344" t="s">
        <v>430</v>
      </c>
      <c r="C344" t="s">
        <v>159</v>
      </c>
      <c r="D344" t="s">
        <v>54</v>
      </c>
      <c r="E344" t="s">
        <v>179</v>
      </c>
      <c r="F344" t="s">
        <v>180</v>
      </c>
      <c r="G344" t="s">
        <v>160</v>
      </c>
      <c r="H344" t="s">
        <v>161</v>
      </c>
      <c r="I344" t="s">
        <v>160</v>
      </c>
      <c r="J344" t="s">
        <v>156</v>
      </c>
      <c r="K344" t="s">
        <v>59</v>
      </c>
      <c r="L344">
        <v>27463</v>
      </c>
      <c r="M344">
        <v>33</v>
      </c>
      <c r="N344">
        <v>10</v>
      </c>
      <c r="O344">
        <v>731.21799999999996</v>
      </c>
      <c r="P344">
        <v>168.2</v>
      </c>
      <c r="Q344">
        <v>30</v>
      </c>
      <c r="R344">
        <v>4</v>
      </c>
      <c r="S344" t="s">
        <v>116</v>
      </c>
      <c r="T344">
        <v>4</v>
      </c>
      <c r="U344">
        <v>2</v>
      </c>
      <c r="V344">
        <v>2</v>
      </c>
      <c r="W344">
        <v>0</v>
      </c>
      <c r="X344">
        <v>0</v>
      </c>
      <c r="Y344" s="20">
        <f>SUM(Table1[[#This Row],[dty_type_cnt1]:[dty_type_cnt5]])</f>
        <v>8</v>
      </c>
    </row>
    <row r="345" spans="1:25" x14ac:dyDescent="0.25">
      <c r="A345" s="15">
        <v>46102</v>
      </c>
      <c r="B345" t="s">
        <v>430</v>
      </c>
      <c r="C345" t="s">
        <v>159</v>
      </c>
      <c r="D345" t="s">
        <v>54</v>
      </c>
      <c r="E345" t="s">
        <v>181</v>
      </c>
      <c r="F345" t="s">
        <v>182</v>
      </c>
      <c r="G345" t="s">
        <v>160</v>
      </c>
      <c r="H345" t="s">
        <v>161</v>
      </c>
      <c r="I345" t="s">
        <v>160</v>
      </c>
      <c r="J345" t="s">
        <v>156</v>
      </c>
      <c r="K345" t="s">
        <v>59</v>
      </c>
      <c r="L345">
        <v>27463</v>
      </c>
      <c r="M345">
        <v>63</v>
      </c>
      <c r="N345">
        <v>12</v>
      </c>
      <c r="O345">
        <v>1392.6489999999999</v>
      </c>
      <c r="P345">
        <v>140.1</v>
      </c>
      <c r="Q345">
        <v>20</v>
      </c>
      <c r="R345">
        <v>5</v>
      </c>
      <c r="S345" t="s">
        <v>116</v>
      </c>
      <c r="T345">
        <v>6</v>
      </c>
      <c r="U345">
        <v>3</v>
      </c>
      <c r="V345">
        <v>2</v>
      </c>
      <c r="W345">
        <v>0</v>
      </c>
      <c r="X345">
        <v>0</v>
      </c>
      <c r="Y345" s="20">
        <f>SUM(Table1[[#This Row],[dty_type_cnt1]:[dty_type_cnt5]])</f>
        <v>11</v>
      </c>
    </row>
    <row r="346" spans="1:25" x14ac:dyDescent="0.25">
      <c r="A346" s="15">
        <v>46102</v>
      </c>
      <c r="B346" t="s">
        <v>430</v>
      </c>
      <c r="C346" t="s">
        <v>159</v>
      </c>
      <c r="D346" t="s">
        <v>54</v>
      </c>
      <c r="E346" t="s">
        <v>183</v>
      </c>
      <c r="F346" t="s">
        <v>184</v>
      </c>
      <c r="G346" t="s">
        <v>160</v>
      </c>
      <c r="H346" t="s">
        <v>161</v>
      </c>
      <c r="I346" t="s">
        <v>160</v>
      </c>
      <c r="J346" t="s">
        <v>156</v>
      </c>
      <c r="K346" t="s">
        <v>59</v>
      </c>
      <c r="L346">
        <v>27463</v>
      </c>
      <c r="M346">
        <v>45</v>
      </c>
      <c r="N346">
        <v>12</v>
      </c>
      <c r="O346">
        <v>1340.01</v>
      </c>
      <c r="P346">
        <v>63</v>
      </c>
      <c r="Q346">
        <v>20</v>
      </c>
      <c r="R346">
        <v>5</v>
      </c>
      <c r="S346" t="s">
        <v>116</v>
      </c>
      <c r="T346">
        <v>4</v>
      </c>
      <c r="U346">
        <v>4</v>
      </c>
      <c r="V346">
        <v>1</v>
      </c>
      <c r="W346">
        <v>0</v>
      </c>
      <c r="X346">
        <v>0</v>
      </c>
      <c r="Y346" s="20">
        <f>SUM(Table1[[#This Row],[dty_type_cnt1]:[dty_type_cnt5]])</f>
        <v>9</v>
      </c>
    </row>
    <row r="347" spans="1:25" x14ac:dyDescent="0.25">
      <c r="A347" s="15">
        <v>46102</v>
      </c>
      <c r="B347" t="s">
        <v>430</v>
      </c>
      <c r="C347" t="s">
        <v>159</v>
      </c>
      <c r="D347" t="s">
        <v>54</v>
      </c>
      <c r="E347" t="s">
        <v>185</v>
      </c>
      <c r="F347" t="s">
        <v>186</v>
      </c>
      <c r="G347" t="s">
        <v>160</v>
      </c>
      <c r="H347" t="s">
        <v>161</v>
      </c>
      <c r="I347" t="s">
        <v>160</v>
      </c>
      <c r="J347" t="s">
        <v>0</v>
      </c>
      <c r="K347" t="s">
        <v>59</v>
      </c>
      <c r="L347">
        <v>27463</v>
      </c>
      <c r="M347">
        <v>59</v>
      </c>
      <c r="N347">
        <v>8</v>
      </c>
      <c r="O347">
        <v>765.13900000000001</v>
      </c>
      <c r="P347">
        <v>28.6</v>
      </c>
      <c r="Q347">
        <v>17</v>
      </c>
      <c r="R347">
        <v>3</v>
      </c>
      <c r="S347" t="s">
        <v>116</v>
      </c>
      <c r="T347">
        <v>3</v>
      </c>
      <c r="U347">
        <v>3</v>
      </c>
      <c r="V347">
        <v>0</v>
      </c>
      <c r="W347">
        <v>0</v>
      </c>
      <c r="X347">
        <v>0</v>
      </c>
      <c r="Y347" s="20">
        <f>SUM(Table1[[#This Row],[dty_type_cnt1]:[dty_type_cnt5]])</f>
        <v>6</v>
      </c>
    </row>
    <row r="348" spans="1:25" x14ac:dyDescent="0.25">
      <c r="A348" s="15">
        <v>46103</v>
      </c>
      <c r="B348" t="s">
        <v>430</v>
      </c>
      <c r="C348" t="s">
        <v>159</v>
      </c>
      <c r="D348" t="s">
        <v>54</v>
      </c>
      <c r="E348" t="s">
        <v>187</v>
      </c>
      <c r="F348" t="s">
        <v>188</v>
      </c>
      <c r="G348" t="s">
        <v>160</v>
      </c>
      <c r="H348" t="s">
        <v>161</v>
      </c>
      <c r="I348" t="s">
        <v>160</v>
      </c>
      <c r="J348" t="s">
        <v>0</v>
      </c>
      <c r="K348" t="s">
        <v>59</v>
      </c>
      <c r="L348">
        <v>27463</v>
      </c>
      <c r="M348">
        <v>37</v>
      </c>
      <c r="N348">
        <v>6</v>
      </c>
      <c r="O348">
        <v>788.99199999999996</v>
      </c>
      <c r="P348">
        <v>40.25</v>
      </c>
      <c r="Q348">
        <v>25</v>
      </c>
      <c r="R348">
        <v>3</v>
      </c>
      <c r="S348" t="s">
        <v>116</v>
      </c>
      <c r="T348">
        <v>3</v>
      </c>
      <c r="U348">
        <v>2</v>
      </c>
      <c r="V348">
        <v>1</v>
      </c>
      <c r="W348">
        <v>0</v>
      </c>
      <c r="X348">
        <v>0</v>
      </c>
      <c r="Y348" s="20">
        <f>SUM(Table1[[#This Row],[dty_type_cnt1]:[dty_type_cnt5]])</f>
        <v>6</v>
      </c>
    </row>
    <row r="349" spans="1:25" x14ac:dyDescent="0.25">
      <c r="A349" s="15">
        <v>46103</v>
      </c>
      <c r="B349" t="s">
        <v>430</v>
      </c>
      <c r="C349" t="s">
        <v>159</v>
      </c>
      <c r="D349" t="s">
        <v>54</v>
      </c>
      <c r="E349" t="s">
        <v>189</v>
      </c>
      <c r="F349" t="s">
        <v>190</v>
      </c>
      <c r="G349" t="s">
        <v>160</v>
      </c>
      <c r="H349" t="s">
        <v>161</v>
      </c>
      <c r="I349" t="s">
        <v>160</v>
      </c>
      <c r="J349" t="s">
        <v>63</v>
      </c>
      <c r="K349" t="s">
        <v>59</v>
      </c>
      <c r="L349">
        <v>27463</v>
      </c>
      <c r="M349">
        <v>35</v>
      </c>
      <c r="N349">
        <v>7</v>
      </c>
      <c r="O349">
        <v>334.21100000000001</v>
      </c>
      <c r="P349">
        <v>34.6</v>
      </c>
      <c r="Q349">
        <v>25</v>
      </c>
      <c r="R349">
        <v>2</v>
      </c>
      <c r="S349" t="s">
        <v>116</v>
      </c>
      <c r="T349">
        <v>2</v>
      </c>
      <c r="U349">
        <v>2</v>
      </c>
      <c r="V349">
        <v>0</v>
      </c>
      <c r="W349">
        <v>0</v>
      </c>
      <c r="X349">
        <v>0</v>
      </c>
      <c r="Y349" s="20">
        <f>SUM(Table1[[#This Row],[dty_type_cnt1]:[dty_type_cnt5]])</f>
        <v>4</v>
      </c>
    </row>
    <row r="350" spans="1:25" x14ac:dyDescent="0.25">
      <c r="A350" s="15">
        <v>46103</v>
      </c>
      <c r="B350" t="s">
        <v>430</v>
      </c>
      <c r="C350" t="s">
        <v>159</v>
      </c>
      <c r="D350" t="s">
        <v>54</v>
      </c>
      <c r="E350" t="s">
        <v>191</v>
      </c>
      <c r="F350" t="s">
        <v>192</v>
      </c>
      <c r="G350" t="s">
        <v>160</v>
      </c>
      <c r="H350" t="s">
        <v>161</v>
      </c>
      <c r="I350" t="s">
        <v>160</v>
      </c>
      <c r="J350" t="s">
        <v>0</v>
      </c>
      <c r="K350" t="s">
        <v>59</v>
      </c>
      <c r="L350">
        <v>27463</v>
      </c>
      <c r="M350">
        <v>106</v>
      </c>
      <c r="N350">
        <v>26</v>
      </c>
      <c r="O350">
        <v>2357.9699999999998</v>
      </c>
      <c r="P350">
        <v>262.3</v>
      </c>
      <c r="Q350">
        <v>15</v>
      </c>
      <c r="R350">
        <v>9</v>
      </c>
      <c r="S350" t="s">
        <v>116</v>
      </c>
      <c r="T350">
        <v>10</v>
      </c>
      <c r="U350">
        <v>8</v>
      </c>
      <c r="V350">
        <v>2</v>
      </c>
      <c r="W350">
        <v>0</v>
      </c>
      <c r="X350">
        <v>0</v>
      </c>
      <c r="Y350" s="20">
        <f>SUM(Table1[[#This Row],[dty_type_cnt1]:[dty_type_cnt5]])</f>
        <v>20</v>
      </c>
    </row>
    <row r="351" spans="1:25" x14ac:dyDescent="0.25">
      <c r="A351" s="15">
        <v>46103</v>
      </c>
      <c r="B351" t="s">
        <v>430</v>
      </c>
      <c r="C351" t="s">
        <v>159</v>
      </c>
      <c r="D351" t="s">
        <v>54</v>
      </c>
      <c r="E351" t="s">
        <v>193</v>
      </c>
      <c r="F351" t="s">
        <v>194</v>
      </c>
      <c r="G351" t="s">
        <v>160</v>
      </c>
      <c r="H351" t="s">
        <v>161</v>
      </c>
      <c r="I351" t="s">
        <v>160</v>
      </c>
      <c r="J351" t="s">
        <v>156</v>
      </c>
      <c r="K351" t="s">
        <v>59</v>
      </c>
      <c r="L351">
        <v>27463</v>
      </c>
      <c r="M351">
        <v>87</v>
      </c>
      <c r="N351">
        <v>22</v>
      </c>
      <c r="O351">
        <v>2003.712</v>
      </c>
      <c r="P351">
        <v>162.5</v>
      </c>
      <c r="Q351">
        <v>20</v>
      </c>
      <c r="R351">
        <v>8</v>
      </c>
      <c r="S351" t="s">
        <v>116</v>
      </c>
      <c r="T351">
        <v>8</v>
      </c>
      <c r="U351">
        <v>5</v>
      </c>
      <c r="V351">
        <v>3</v>
      </c>
      <c r="W351">
        <v>0</v>
      </c>
      <c r="X351">
        <v>0</v>
      </c>
      <c r="Y351" s="20">
        <f>SUM(Table1[[#This Row],[dty_type_cnt1]:[dty_type_cnt5]])</f>
        <v>16</v>
      </c>
    </row>
    <row r="352" spans="1:25" x14ac:dyDescent="0.25">
      <c r="A352" s="15">
        <v>46103</v>
      </c>
      <c r="B352" t="s">
        <v>430</v>
      </c>
      <c r="C352" t="s">
        <v>159</v>
      </c>
      <c r="D352" t="s">
        <v>54</v>
      </c>
      <c r="E352" t="s">
        <v>195</v>
      </c>
      <c r="F352" t="s">
        <v>196</v>
      </c>
      <c r="G352" t="s">
        <v>160</v>
      </c>
      <c r="H352" t="s">
        <v>161</v>
      </c>
      <c r="I352" t="s">
        <v>160</v>
      </c>
      <c r="J352" t="s">
        <v>156</v>
      </c>
      <c r="K352" t="s">
        <v>59</v>
      </c>
      <c r="L352">
        <v>27463</v>
      </c>
      <c r="M352">
        <v>93</v>
      </c>
      <c r="N352">
        <v>10</v>
      </c>
      <c r="O352">
        <v>2454.4899999999998</v>
      </c>
      <c r="P352">
        <v>117.1</v>
      </c>
      <c r="Q352">
        <v>20</v>
      </c>
      <c r="R352">
        <v>5</v>
      </c>
      <c r="S352" t="s">
        <v>116</v>
      </c>
      <c r="T352">
        <v>9</v>
      </c>
      <c r="U352">
        <v>3</v>
      </c>
      <c r="V352">
        <v>5</v>
      </c>
      <c r="W352">
        <v>0</v>
      </c>
      <c r="X352">
        <v>0</v>
      </c>
      <c r="Y352" s="20">
        <f>SUM(Table1[[#This Row],[dty_type_cnt1]:[dty_type_cnt5]])</f>
        <v>17</v>
      </c>
    </row>
    <row r="353" spans="1:25" x14ac:dyDescent="0.25">
      <c r="A353" s="15">
        <v>46103</v>
      </c>
      <c r="B353" t="s">
        <v>430</v>
      </c>
      <c r="C353" t="s">
        <v>159</v>
      </c>
      <c r="D353" t="s">
        <v>54</v>
      </c>
      <c r="E353" t="s">
        <v>197</v>
      </c>
      <c r="F353" t="s">
        <v>198</v>
      </c>
      <c r="G353" t="s">
        <v>160</v>
      </c>
      <c r="H353" t="s">
        <v>161</v>
      </c>
      <c r="I353" t="s">
        <v>160</v>
      </c>
      <c r="J353" t="s">
        <v>156</v>
      </c>
      <c r="K353" t="s">
        <v>59</v>
      </c>
      <c r="L353">
        <v>27463</v>
      </c>
      <c r="M353">
        <v>73</v>
      </c>
      <c r="N353">
        <v>18</v>
      </c>
      <c r="O353">
        <v>2575.5120000000002</v>
      </c>
      <c r="P353">
        <v>166.38</v>
      </c>
      <c r="Q353">
        <v>15</v>
      </c>
      <c r="R353">
        <v>8</v>
      </c>
      <c r="S353" t="s">
        <v>116</v>
      </c>
      <c r="T353">
        <v>8</v>
      </c>
      <c r="U353">
        <v>5</v>
      </c>
      <c r="V353">
        <v>3</v>
      </c>
      <c r="W353">
        <v>0</v>
      </c>
      <c r="X353">
        <v>0</v>
      </c>
      <c r="Y353" s="20">
        <f>SUM(Table1[[#This Row],[dty_type_cnt1]:[dty_type_cnt5]])</f>
        <v>16</v>
      </c>
    </row>
    <row r="354" spans="1:25" x14ac:dyDescent="0.25">
      <c r="A354" s="15">
        <v>46101</v>
      </c>
      <c r="B354" t="s">
        <v>430</v>
      </c>
      <c r="C354" t="s">
        <v>159</v>
      </c>
      <c r="D354" t="s">
        <v>54</v>
      </c>
      <c r="E354" t="s">
        <v>199</v>
      </c>
      <c r="F354" t="s">
        <v>200</v>
      </c>
      <c r="G354" t="s">
        <v>160</v>
      </c>
      <c r="H354" t="s">
        <v>161</v>
      </c>
      <c r="I354" t="s">
        <v>160</v>
      </c>
      <c r="J354" t="s">
        <v>156</v>
      </c>
      <c r="K354" t="s">
        <v>59</v>
      </c>
      <c r="L354">
        <v>27463</v>
      </c>
      <c r="M354">
        <v>46</v>
      </c>
      <c r="N354">
        <v>14</v>
      </c>
      <c r="O354">
        <v>1307.26</v>
      </c>
      <c r="P354">
        <v>100.9</v>
      </c>
      <c r="Q354">
        <v>20</v>
      </c>
      <c r="R354">
        <v>5</v>
      </c>
      <c r="S354" t="s">
        <v>116</v>
      </c>
      <c r="T354">
        <v>6</v>
      </c>
      <c r="U354">
        <v>3</v>
      </c>
      <c r="V354">
        <v>2</v>
      </c>
      <c r="W354">
        <v>0</v>
      </c>
      <c r="X354">
        <v>0</v>
      </c>
      <c r="Y354" s="20">
        <f>SUM(Table1[[#This Row],[dty_type_cnt1]:[dty_type_cnt5]])</f>
        <v>11</v>
      </c>
    </row>
    <row r="355" spans="1:25" x14ac:dyDescent="0.25">
      <c r="A355" s="15">
        <v>46101</v>
      </c>
      <c r="B355" t="s">
        <v>430</v>
      </c>
      <c r="C355" t="s">
        <v>159</v>
      </c>
      <c r="D355" t="s">
        <v>54</v>
      </c>
      <c r="E355" t="s">
        <v>201</v>
      </c>
      <c r="F355" t="s">
        <v>202</v>
      </c>
      <c r="G355" t="s">
        <v>160</v>
      </c>
      <c r="H355" t="s">
        <v>161</v>
      </c>
      <c r="I355" t="s">
        <v>160</v>
      </c>
      <c r="J355" t="s">
        <v>156</v>
      </c>
      <c r="K355" t="s">
        <v>59</v>
      </c>
      <c r="L355">
        <v>27463</v>
      </c>
      <c r="M355">
        <v>38</v>
      </c>
      <c r="N355">
        <v>4</v>
      </c>
      <c r="O355">
        <v>517.23099999999999</v>
      </c>
      <c r="P355">
        <v>26.3</v>
      </c>
      <c r="Q355">
        <v>30</v>
      </c>
      <c r="R355">
        <v>2</v>
      </c>
      <c r="S355" t="s">
        <v>116</v>
      </c>
      <c r="T355">
        <v>3</v>
      </c>
      <c r="U355">
        <v>1</v>
      </c>
      <c r="V355">
        <v>1</v>
      </c>
      <c r="W355">
        <v>0</v>
      </c>
      <c r="X355">
        <v>0</v>
      </c>
      <c r="Y355" s="20">
        <f>SUM(Table1[[#This Row],[dty_type_cnt1]:[dty_type_cnt5]])</f>
        <v>5</v>
      </c>
    </row>
    <row r="356" spans="1:25" x14ac:dyDescent="0.25">
      <c r="A356" s="15">
        <v>46101</v>
      </c>
      <c r="B356" t="s">
        <v>430</v>
      </c>
      <c r="C356" t="s">
        <v>159</v>
      </c>
      <c r="D356" t="s">
        <v>54</v>
      </c>
      <c r="E356" t="s">
        <v>203</v>
      </c>
      <c r="F356" t="s">
        <v>204</v>
      </c>
      <c r="G356" t="s">
        <v>160</v>
      </c>
      <c r="H356" t="s">
        <v>161</v>
      </c>
      <c r="I356" t="s">
        <v>160</v>
      </c>
      <c r="J356" t="s">
        <v>156</v>
      </c>
      <c r="K356" t="s">
        <v>59</v>
      </c>
      <c r="L356">
        <v>27463</v>
      </c>
      <c r="M356">
        <v>49</v>
      </c>
      <c r="N356">
        <v>20</v>
      </c>
      <c r="O356">
        <v>2393.8589999999999</v>
      </c>
      <c r="P356">
        <v>380.8</v>
      </c>
      <c r="Q356">
        <v>30</v>
      </c>
      <c r="R356">
        <v>8</v>
      </c>
      <c r="S356" t="s">
        <v>116</v>
      </c>
      <c r="T356">
        <v>6</v>
      </c>
      <c r="U356">
        <v>3</v>
      </c>
      <c r="V356">
        <v>2</v>
      </c>
      <c r="W356">
        <v>0</v>
      </c>
      <c r="X356">
        <v>0</v>
      </c>
      <c r="Y356" s="20">
        <f>SUM(Table1[[#This Row],[dty_type_cnt1]:[dty_type_cnt5]])</f>
        <v>11</v>
      </c>
    </row>
    <row r="357" spans="1:25" x14ac:dyDescent="0.25">
      <c r="A357" s="15">
        <v>46101</v>
      </c>
      <c r="B357" t="s">
        <v>430</v>
      </c>
      <c r="C357" t="s">
        <v>159</v>
      </c>
      <c r="D357" t="s">
        <v>54</v>
      </c>
      <c r="E357" t="s">
        <v>205</v>
      </c>
      <c r="F357" t="s">
        <v>206</v>
      </c>
      <c r="G357" t="s">
        <v>160</v>
      </c>
      <c r="H357" t="s">
        <v>161</v>
      </c>
      <c r="I357" t="s">
        <v>160</v>
      </c>
      <c r="J357" t="s">
        <v>156</v>
      </c>
      <c r="K357" t="s">
        <v>59</v>
      </c>
      <c r="L357">
        <v>27463</v>
      </c>
      <c r="M357">
        <v>41</v>
      </c>
      <c r="N357">
        <v>10</v>
      </c>
      <c r="O357">
        <v>2317.5619999999999</v>
      </c>
      <c r="P357">
        <v>123.8</v>
      </c>
      <c r="Q357">
        <v>25</v>
      </c>
      <c r="R357">
        <v>5</v>
      </c>
      <c r="S357" t="s">
        <v>116</v>
      </c>
      <c r="T357">
        <v>6</v>
      </c>
      <c r="U357">
        <v>2</v>
      </c>
      <c r="V357">
        <v>4</v>
      </c>
      <c r="W357">
        <v>0</v>
      </c>
      <c r="X357">
        <v>0</v>
      </c>
      <c r="Y357" s="20">
        <f>SUM(Table1[[#This Row],[dty_type_cnt1]:[dty_type_cnt5]])</f>
        <v>12</v>
      </c>
    </row>
    <row r="358" spans="1:25" x14ac:dyDescent="0.25">
      <c r="A358" s="15">
        <v>46101</v>
      </c>
      <c r="B358" t="s">
        <v>430</v>
      </c>
      <c r="C358" t="s">
        <v>159</v>
      </c>
      <c r="D358" t="s">
        <v>54</v>
      </c>
      <c r="E358" t="s">
        <v>207</v>
      </c>
      <c r="F358" t="s">
        <v>208</v>
      </c>
      <c r="G358" t="s">
        <v>160</v>
      </c>
      <c r="H358" t="s">
        <v>161</v>
      </c>
      <c r="I358" t="s">
        <v>160</v>
      </c>
      <c r="J358" t="s">
        <v>156</v>
      </c>
      <c r="K358" t="s">
        <v>59</v>
      </c>
      <c r="L358">
        <v>27463</v>
      </c>
      <c r="M358">
        <v>85</v>
      </c>
      <c r="N358">
        <v>16</v>
      </c>
      <c r="O358">
        <v>2301.174</v>
      </c>
      <c r="P358">
        <v>386.6</v>
      </c>
      <c r="Q358">
        <v>20</v>
      </c>
      <c r="R358">
        <v>6</v>
      </c>
      <c r="S358" t="s">
        <v>116</v>
      </c>
      <c r="T358">
        <v>7</v>
      </c>
      <c r="U358">
        <v>5</v>
      </c>
      <c r="V358">
        <v>1</v>
      </c>
      <c r="W358">
        <v>0</v>
      </c>
      <c r="X358">
        <v>0</v>
      </c>
      <c r="Y358" s="20">
        <f>SUM(Table1[[#This Row],[dty_type_cnt1]:[dty_type_cnt5]])</f>
        <v>13</v>
      </c>
    </row>
    <row r="359" spans="1:25" x14ac:dyDescent="0.25">
      <c r="A359" s="15">
        <v>46101</v>
      </c>
      <c r="B359" t="s">
        <v>430</v>
      </c>
      <c r="C359" t="s">
        <v>159</v>
      </c>
      <c r="D359" t="s">
        <v>54</v>
      </c>
      <c r="E359" t="s">
        <v>209</v>
      </c>
      <c r="F359" t="s">
        <v>210</v>
      </c>
      <c r="G359" t="s">
        <v>160</v>
      </c>
      <c r="H359" t="s">
        <v>161</v>
      </c>
      <c r="I359" t="s">
        <v>160</v>
      </c>
      <c r="J359" t="s">
        <v>156</v>
      </c>
      <c r="K359" t="s">
        <v>59</v>
      </c>
      <c r="L359">
        <v>27463</v>
      </c>
      <c r="M359">
        <v>26</v>
      </c>
      <c r="N359">
        <v>2</v>
      </c>
      <c r="O359">
        <v>285.82100000000003</v>
      </c>
      <c r="P359">
        <v>15.2</v>
      </c>
      <c r="Q359">
        <v>35</v>
      </c>
      <c r="R359">
        <v>1</v>
      </c>
      <c r="S359" t="s">
        <v>116</v>
      </c>
      <c r="T359">
        <v>1</v>
      </c>
      <c r="U359">
        <v>1</v>
      </c>
      <c r="V359">
        <v>0</v>
      </c>
      <c r="W359">
        <v>0</v>
      </c>
      <c r="X359">
        <v>0</v>
      </c>
      <c r="Y359" s="20">
        <f>SUM(Table1[[#This Row],[dty_type_cnt1]:[dty_type_cnt5]])</f>
        <v>2</v>
      </c>
    </row>
    <row r="360" spans="1:25" x14ac:dyDescent="0.25">
      <c r="A360" s="15">
        <v>46101</v>
      </c>
      <c r="B360" t="s">
        <v>430</v>
      </c>
      <c r="C360" t="s">
        <v>159</v>
      </c>
      <c r="D360" t="s">
        <v>54</v>
      </c>
      <c r="E360" t="s">
        <v>211</v>
      </c>
      <c r="F360" t="s">
        <v>212</v>
      </c>
      <c r="G360" t="s">
        <v>160</v>
      </c>
      <c r="H360" t="s">
        <v>161</v>
      </c>
      <c r="I360" t="s">
        <v>160</v>
      </c>
      <c r="J360" t="s">
        <v>63</v>
      </c>
      <c r="K360" t="s">
        <v>59</v>
      </c>
      <c r="L360">
        <v>27463</v>
      </c>
      <c r="M360">
        <v>38</v>
      </c>
      <c r="N360">
        <v>2</v>
      </c>
      <c r="O360">
        <v>155.68600000000001</v>
      </c>
      <c r="P360">
        <v>37.5</v>
      </c>
      <c r="Q360">
        <v>30</v>
      </c>
      <c r="R360">
        <v>1</v>
      </c>
      <c r="S360" t="s">
        <v>116</v>
      </c>
      <c r="T360">
        <v>2</v>
      </c>
      <c r="U360">
        <v>0</v>
      </c>
      <c r="V360">
        <v>1</v>
      </c>
      <c r="W360">
        <v>0</v>
      </c>
      <c r="X360">
        <v>0</v>
      </c>
      <c r="Y360" s="20">
        <f>SUM(Table1[[#This Row],[dty_type_cnt1]:[dty_type_cnt5]])</f>
        <v>3</v>
      </c>
    </row>
    <row r="361" spans="1:25" x14ac:dyDescent="0.25">
      <c r="A361" s="15">
        <v>46101</v>
      </c>
      <c r="B361" t="s">
        <v>430</v>
      </c>
      <c r="C361" t="s">
        <v>159</v>
      </c>
      <c r="D361" t="s">
        <v>54</v>
      </c>
      <c r="E361" t="s">
        <v>213</v>
      </c>
      <c r="F361" t="s">
        <v>214</v>
      </c>
      <c r="G361" t="s">
        <v>160</v>
      </c>
      <c r="H361" t="s">
        <v>161</v>
      </c>
      <c r="I361" t="s">
        <v>160</v>
      </c>
      <c r="J361" t="s">
        <v>63</v>
      </c>
      <c r="K361" t="s">
        <v>59</v>
      </c>
      <c r="L361">
        <v>27463</v>
      </c>
      <c r="M361">
        <v>38</v>
      </c>
      <c r="N361">
        <v>2</v>
      </c>
      <c r="O361">
        <v>116.736</v>
      </c>
      <c r="P361">
        <v>37.9</v>
      </c>
      <c r="Q361">
        <v>30</v>
      </c>
      <c r="R361">
        <v>1</v>
      </c>
      <c r="S361" t="s">
        <v>116</v>
      </c>
      <c r="T361">
        <v>1</v>
      </c>
      <c r="U361">
        <v>1</v>
      </c>
      <c r="V361">
        <v>1</v>
      </c>
      <c r="W361">
        <v>0</v>
      </c>
      <c r="X361">
        <v>0</v>
      </c>
      <c r="Y361" s="20">
        <f>SUM(Table1[[#This Row],[dty_type_cnt1]:[dty_type_cnt5]])</f>
        <v>3</v>
      </c>
    </row>
    <row r="362" spans="1:25" x14ac:dyDescent="0.25">
      <c r="A362" s="15">
        <v>46101</v>
      </c>
      <c r="B362" t="s">
        <v>430</v>
      </c>
      <c r="C362" t="s">
        <v>159</v>
      </c>
      <c r="D362" t="s">
        <v>46</v>
      </c>
      <c r="E362" t="s">
        <v>215</v>
      </c>
      <c r="F362" t="s">
        <v>216</v>
      </c>
      <c r="G362" t="s">
        <v>160</v>
      </c>
      <c r="H362" t="s">
        <v>161</v>
      </c>
      <c r="I362" t="s">
        <v>160</v>
      </c>
      <c r="J362" t="s">
        <v>0</v>
      </c>
      <c r="K362" t="s">
        <v>59</v>
      </c>
      <c r="L362">
        <v>27463</v>
      </c>
      <c r="M362">
        <v>35</v>
      </c>
      <c r="N362">
        <v>8</v>
      </c>
      <c r="O362">
        <v>1064.28</v>
      </c>
      <c r="P362">
        <v>76.09</v>
      </c>
      <c r="Q362">
        <v>30</v>
      </c>
      <c r="R362">
        <v>4</v>
      </c>
      <c r="S362" t="s">
        <v>116</v>
      </c>
      <c r="T362">
        <v>4</v>
      </c>
      <c r="U362">
        <v>4</v>
      </c>
      <c r="V362">
        <v>1</v>
      </c>
      <c r="W362">
        <v>0</v>
      </c>
      <c r="X362">
        <v>0</v>
      </c>
      <c r="Y362" s="20">
        <f>SUM(Table1[[#This Row],[dty_type_cnt1]:[dty_type_cnt5]])</f>
        <v>9</v>
      </c>
    </row>
    <row r="363" spans="1:25" x14ac:dyDescent="0.25">
      <c r="A363" s="15">
        <v>46101</v>
      </c>
      <c r="B363" t="s">
        <v>430</v>
      </c>
      <c r="C363" t="s">
        <v>159</v>
      </c>
      <c r="D363" t="s">
        <v>46</v>
      </c>
      <c r="E363" t="s">
        <v>217</v>
      </c>
      <c r="F363" t="s">
        <v>218</v>
      </c>
      <c r="G363" t="s">
        <v>160</v>
      </c>
      <c r="H363" t="s">
        <v>161</v>
      </c>
      <c r="I363" t="s">
        <v>160</v>
      </c>
      <c r="J363" t="s">
        <v>0</v>
      </c>
      <c r="K363" t="s">
        <v>59</v>
      </c>
      <c r="L363">
        <v>27463</v>
      </c>
      <c r="M363">
        <v>17</v>
      </c>
      <c r="N363">
        <v>2</v>
      </c>
      <c r="O363">
        <v>233.59700000000001</v>
      </c>
      <c r="P363">
        <v>40.299999999999997</v>
      </c>
      <c r="Q363">
        <v>60</v>
      </c>
      <c r="R363">
        <v>1</v>
      </c>
      <c r="S363" t="s">
        <v>116</v>
      </c>
      <c r="T363">
        <v>1</v>
      </c>
      <c r="U363">
        <v>1</v>
      </c>
      <c r="V363">
        <v>0</v>
      </c>
      <c r="W363">
        <v>0</v>
      </c>
      <c r="X363">
        <v>0</v>
      </c>
      <c r="Y363" s="20">
        <f>SUM(Table1[[#This Row],[dty_type_cnt1]:[dty_type_cnt5]])</f>
        <v>2</v>
      </c>
    </row>
    <row r="364" spans="1:25" x14ac:dyDescent="0.25">
      <c r="A364" s="15">
        <v>46101</v>
      </c>
      <c r="B364" t="s">
        <v>430</v>
      </c>
      <c r="C364" t="s">
        <v>159</v>
      </c>
      <c r="D364" t="s">
        <v>46</v>
      </c>
      <c r="E364" t="s">
        <v>219</v>
      </c>
      <c r="F364" t="s">
        <v>220</v>
      </c>
      <c r="G364" t="s">
        <v>160</v>
      </c>
      <c r="H364" t="s">
        <v>161</v>
      </c>
      <c r="I364" t="s">
        <v>160</v>
      </c>
      <c r="J364" t="s">
        <v>0</v>
      </c>
      <c r="K364" t="s">
        <v>59</v>
      </c>
      <c r="L364">
        <v>27463</v>
      </c>
      <c r="M364">
        <v>23</v>
      </c>
      <c r="N364">
        <v>6</v>
      </c>
      <c r="O364">
        <v>404.86900000000003</v>
      </c>
      <c r="P364">
        <v>84.9</v>
      </c>
      <c r="Q364">
        <v>35</v>
      </c>
      <c r="R364">
        <v>2</v>
      </c>
      <c r="S364" t="s">
        <v>116</v>
      </c>
      <c r="T364">
        <v>2</v>
      </c>
      <c r="U364">
        <v>2</v>
      </c>
      <c r="V364">
        <v>0</v>
      </c>
      <c r="W364">
        <v>0</v>
      </c>
      <c r="X364">
        <v>0</v>
      </c>
      <c r="Y364" s="20">
        <f>SUM(Table1[[#This Row],[dty_type_cnt1]:[dty_type_cnt5]])</f>
        <v>4</v>
      </c>
    </row>
    <row r="365" spans="1:25" x14ac:dyDescent="0.25">
      <c r="A365" s="15">
        <v>46101</v>
      </c>
      <c r="B365" t="s">
        <v>430</v>
      </c>
      <c r="C365" t="s">
        <v>159</v>
      </c>
      <c r="D365" t="s">
        <v>46</v>
      </c>
      <c r="E365" t="s">
        <v>221</v>
      </c>
      <c r="F365" t="s">
        <v>222</v>
      </c>
      <c r="G365" t="s">
        <v>160</v>
      </c>
      <c r="H365" t="s">
        <v>161</v>
      </c>
      <c r="I365" t="s">
        <v>160</v>
      </c>
      <c r="J365" t="s">
        <v>0</v>
      </c>
      <c r="K365" t="s">
        <v>59</v>
      </c>
      <c r="L365">
        <v>27463</v>
      </c>
      <c r="M365">
        <v>42</v>
      </c>
      <c r="N365">
        <v>6</v>
      </c>
      <c r="O365">
        <v>856.46400000000006</v>
      </c>
      <c r="P365">
        <v>120.9</v>
      </c>
      <c r="Q365">
        <v>20</v>
      </c>
      <c r="R365">
        <v>3</v>
      </c>
      <c r="S365" t="s">
        <v>116</v>
      </c>
      <c r="T365">
        <v>3</v>
      </c>
      <c r="U365">
        <v>3</v>
      </c>
      <c r="V365">
        <v>0</v>
      </c>
      <c r="W365">
        <v>0</v>
      </c>
      <c r="X365">
        <v>0</v>
      </c>
      <c r="Y365" s="20">
        <f>SUM(Table1[[#This Row],[dty_type_cnt1]:[dty_type_cnt5]])</f>
        <v>6</v>
      </c>
    </row>
    <row r="366" spans="1:25" x14ac:dyDescent="0.25">
      <c r="A366" s="15">
        <v>46101</v>
      </c>
      <c r="B366" t="s">
        <v>430</v>
      </c>
      <c r="C366" t="s">
        <v>159</v>
      </c>
      <c r="D366" t="s">
        <v>55</v>
      </c>
      <c r="E366" t="s">
        <v>223</v>
      </c>
      <c r="F366" t="s">
        <v>224</v>
      </c>
      <c r="G366" t="s">
        <v>160</v>
      </c>
      <c r="H366" t="s">
        <v>161</v>
      </c>
      <c r="I366" t="s">
        <v>160</v>
      </c>
      <c r="J366" t="s">
        <v>0</v>
      </c>
      <c r="K366" t="s">
        <v>59</v>
      </c>
      <c r="L366">
        <v>27463</v>
      </c>
      <c r="M366">
        <v>39</v>
      </c>
      <c r="N366">
        <v>2</v>
      </c>
      <c r="O366">
        <v>134.35499999999999</v>
      </c>
      <c r="P366">
        <v>38.200000000000003</v>
      </c>
      <c r="Q366">
        <v>20</v>
      </c>
      <c r="R366">
        <v>1</v>
      </c>
      <c r="S366" t="s">
        <v>116</v>
      </c>
      <c r="T366">
        <v>1</v>
      </c>
      <c r="U366">
        <v>1</v>
      </c>
      <c r="V366">
        <v>0</v>
      </c>
      <c r="W366">
        <v>0</v>
      </c>
      <c r="X366">
        <v>0</v>
      </c>
      <c r="Y366" s="20">
        <f>SUM(Table1[[#This Row],[dty_type_cnt1]:[dty_type_cnt5]])</f>
        <v>2</v>
      </c>
    </row>
    <row r="367" spans="1:25" x14ac:dyDescent="0.25">
      <c r="A367" s="15">
        <v>46101</v>
      </c>
      <c r="B367" t="s">
        <v>430</v>
      </c>
      <c r="C367" t="s">
        <v>159</v>
      </c>
      <c r="D367" t="s">
        <v>55</v>
      </c>
      <c r="E367" t="s">
        <v>225</v>
      </c>
      <c r="F367" t="s">
        <v>226</v>
      </c>
      <c r="G367" t="s">
        <v>160</v>
      </c>
      <c r="H367" t="s">
        <v>161</v>
      </c>
      <c r="I367" t="s">
        <v>160</v>
      </c>
      <c r="J367" t="s">
        <v>0</v>
      </c>
      <c r="K367" t="s">
        <v>59</v>
      </c>
      <c r="L367">
        <v>27463</v>
      </c>
      <c r="M367">
        <v>39</v>
      </c>
      <c r="N367">
        <v>2</v>
      </c>
      <c r="O367">
        <v>129.714</v>
      </c>
      <c r="P367">
        <v>29.4</v>
      </c>
      <c r="Q367">
        <v>20</v>
      </c>
      <c r="R367">
        <v>1</v>
      </c>
      <c r="S367" t="s">
        <v>116</v>
      </c>
      <c r="T367">
        <v>1</v>
      </c>
      <c r="U367">
        <v>1</v>
      </c>
      <c r="V367">
        <v>0</v>
      </c>
      <c r="W367">
        <v>0</v>
      </c>
      <c r="X367">
        <v>0</v>
      </c>
      <c r="Y367" s="20">
        <f>SUM(Table1[[#This Row],[dty_type_cnt1]:[dty_type_cnt5]])</f>
        <v>2</v>
      </c>
    </row>
    <row r="368" spans="1:25" x14ac:dyDescent="0.25">
      <c r="A368" s="15">
        <v>46101</v>
      </c>
      <c r="B368" t="s">
        <v>430</v>
      </c>
      <c r="C368" t="s">
        <v>159</v>
      </c>
      <c r="D368" t="s">
        <v>101</v>
      </c>
      <c r="E368" t="s">
        <v>227</v>
      </c>
      <c r="F368" t="s">
        <v>228</v>
      </c>
      <c r="G368" t="s">
        <v>160</v>
      </c>
      <c r="H368" t="s">
        <v>161</v>
      </c>
      <c r="I368" t="s">
        <v>160</v>
      </c>
      <c r="J368" t="s">
        <v>156</v>
      </c>
      <c r="K368" t="s">
        <v>59</v>
      </c>
      <c r="L368">
        <v>27463</v>
      </c>
      <c r="M368">
        <v>37</v>
      </c>
      <c r="N368">
        <v>30</v>
      </c>
      <c r="O368">
        <v>2454.4740000000002</v>
      </c>
      <c r="P368">
        <v>1031.5999999999999</v>
      </c>
      <c r="Q368">
        <v>20</v>
      </c>
      <c r="R368">
        <v>15</v>
      </c>
      <c r="S368" t="s">
        <v>116</v>
      </c>
      <c r="T368">
        <v>0</v>
      </c>
      <c r="U368">
        <v>0</v>
      </c>
      <c r="V368">
        <v>15</v>
      </c>
      <c r="W368">
        <v>0</v>
      </c>
      <c r="X368">
        <v>0</v>
      </c>
      <c r="Y368" s="20">
        <f>SUM(Table1[[#This Row],[dty_type_cnt1]:[dty_type_cnt5]])</f>
        <v>15</v>
      </c>
    </row>
    <row r="369" spans="1:25" x14ac:dyDescent="0.25">
      <c r="A369" s="15">
        <v>46101</v>
      </c>
      <c r="B369" t="s">
        <v>430</v>
      </c>
      <c r="C369" t="s">
        <v>159</v>
      </c>
      <c r="D369" t="s">
        <v>49</v>
      </c>
      <c r="E369" t="s">
        <v>229</v>
      </c>
      <c r="F369" t="s">
        <v>230</v>
      </c>
      <c r="G369" t="s">
        <v>160</v>
      </c>
      <c r="H369" t="s">
        <v>161</v>
      </c>
      <c r="I369" t="s">
        <v>160</v>
      </c>
      <c r="J369" t="s">
        <v>171</v>
      </c>
      <c r="K369" t="s">
        <v>59</v>
      </c>
      <c r="L369">
        <v>27463</v>
      </c>
      <c r="M369">
        <v>79</v>
      </c>
      <c r="N369">
        <v>24</v>
      </c>
      <c r="O369">
        <v>4234.62</v>
      </c>
      <c r="P369">
        <v>760.9</v>
      </c>
      <c r="Q369">
        <v>20</v>
      </c>
      <c r="R369">
        <v>10</v>
      </c>
      <c r="S369" t="s">
        <v>116</v>
      </c>
      <c r="T369">
        <v>11</v>
      </c>
      <c r="U369">
        <v>7</v>
      </c>
      <c r="V369">
        <v>3</v>
      </c>
      <c r="W369">
        <v>0</v>
      </c>
      <c r="X369">
        <v>0</v>
      </c>
      <c r="Y369" s="20">
        <f>SUM(Table1[[#This Row],[dty_type_cnt1]:[dty_type_cnt5]])</f>
        <v>21</v>
      </c>
    </row>
    <row r="370" spans="1:25" x14ac:dyDescent="0.25">
      <c r="A370" s="15">
        <v>46101</v>
      </c>
      <c r="B370" t="s">
        <v>430</v>
      </c>
      <c r="C370" t="s">
        <v>159</v>
      </c>
      <c r="D370" t="s">
        <v>49</v>
      </c>
      <c r="E370" t="s">
        <v>231</v>
      </c>
      <c r="F370" t="s">
        <v>232</v>
      </c>
      <c r="G370" t="s">
        <v>160</v>
      </c>
      <c r="H370" t="s">
        <v>161</v>
      </c>
      <c r="I370" t="s">
        <v>160</v>
      </c>
      <c r="J370" t="s">
        <v>156</v>
      </c>
      <c r="K370" t="s">
        <v>59</v>
      </c>
      <c r="L370">
        <v>27463</v>
      </c>
      <c r="M370">
        <v>61</v>
      </c>
      <c r="N370">
        <v>10</v>
      </c>
      <c r="O370">
        <v>2988.6660000000002</v>
      </c>
      <c r="P370">
        <v>174.3</v>
      </c>
      <c r="Q370">
        <v>30</v>
      </c>
      <c r="R370">
        <v>5</v>
      </c>
      <c r="S370" t="s">
        <v>116</v>
      </c>
      <c r="T370">
        <v>6</v>
      </c>
      <c r="U370">
        <v>4</v>
      </c>
      <c r="V370">
        <v>2</v>
      </c>
      <c r="W370">
        <v>0</v>
      </c>
      <c r="X370">
        <v>0</v>
      </c>
      <c r="Y370" s="20">
        <f>SUM(Table1[[#This Row],[dty_type_cnt1]:[dty_type_cnt5]])</f>
        <v>12</v>
      </c>
    </row>
    <row r="371" spans="1:25" x14ac:dyDescent="0.25">
      <c r="A371" s="15">
        <v>46101</v>
      </c>
      <c r="B371" t="s">
        <v>430</v>
      </c>
      <c r="C371" t="s">
        <v>233</v>
      </c>
      <c r="D371" t="s">
        <v>46</v>
      </c>
      <c r="E371">
        <v>5</v>
      </c>
      <c r="F371" t="s">
        <v>112</v>
      </c>
      <c r="G371" t="s">
        <v>234</v>
      </c>
      <c r="H371" t="s">
        <v>235</v>
      </c>
      <c r="I371" t="s">
        <v>234</v>
      </c>
      <c r="J371" t="s">
        <v>156</v>
      </c>
      <c r="K371" t="s">
        <v>1</v>
      </c>
      <c r="L371">
        <v>27457</v>
      </c>
      <c r="M371">
        <v>65</v>
      </c>
      <c r="N371">
        <v>8</v>
      </c>
      <c r="O371">
        <v>517.39800000000002</v>
      </c>
      <c r="P371">
        <v>15.5</v>
      </c>
      <c r="Q371">
        <v>20</v>
      </c>
      <c r="R371">
        <v>4</v>
      </c>
      <c r="S371" t="s">
        <v>116</v>
      </c>
      <c r="T371">
        <v>4</v>
      </c>
      <c r="U371">
        <v>4</v>
      </c>
      <c r="V371">
        <v>0</v>
      </c>
      <c r="W371">
        <v>0</v>
      </c>
      <c r="X371">
        <v>0</v>
      </c>
      <c r="Y371" s="20">
        <f>SUM(Table1[[#This Row],[dty_type_cnt1]:[dty_type_cnt5]])</f>
        <v>8</v>
      </c>
    </row>
    <row r="372" spans="1:25" x14ac:dyDescent="0.25">
      <c r="A372" s="15">
        <v>46101</v>
      </c>
      <c r="B372" t="s">
        <v>430</v>
      </c>
      <c r="C372" t="s">
        <v>233</v>
      </c>
      <c r="D372" t="s">
        <v>46</v>
      </c>
      <c r="E372">
        <v>10</v>
      </c>
      <c r="F372" t="s">
        <v>261</v>
      </c>
      <c r="G372" t="s">
        <v>234</v>
      </c>
      <c r="H372" t="s">
        <v>235</v>
      </c>
      <c r="I372" t="s">
        <v>234</v>
      </c>
      <c r="J372" t="s">
        <v>156</v>
      </c>
      <c r="K372" t="s">
        <v>1</v>
      </c>
      <c r="L372">
        <v>27457</v>
      </c>
      <c r="M372">
        <v>26</v>
      </c>
      <c r="N372">
        <v>4</v>
      </c>
      <c r="O372">
        <v>659.62800000000004</v>
      </c>
      <c r="P372">
        <v>0.4</v>
      </c>
      <c r="Q372">
        <v>25</v>
      </c>
      <c r="R372">
        <v>2</v>
      </c>
      <c r="S372" t="s">
        <v>116</v>
      </c>
      <c r="T372">
        <v>2</v>
      </c>
      <c r="U372">
        <v>2</v>
      </c>
      <c r="V372">
        <v>0</v>
      </c>
      <c r="W372">
        <v>0</v>
      </c>
      <c r="X372">
        <v>0</v>
      </c>
      <c r="Y372" s="20">
        <f>SUM(Table1[[#This Row],[dty_type_cnt1]:[dty_type_cnt5]])</f>
        <v>4</v>
      </c>
    </row>
    <row r="373" spans="1:25" x14ac:dyDescent="0.25">
      <c r="A373" s="15">
        <v>46101</v>
      </c>
      <c r="B373" t="s">
        <v>430</v>
      </c>
      <c r="C373" t="s">
        <v>233</v>
      </c>
      <c r="D373" t="s">
        <v>46</v>
      </c>
      <c r="E373" t="s">
        <v>141</v>
      </c>
      <c r="F373" t="s">
        <v>65</v>
      </c>
      <c r="G373" t="s">
        <v>234</v>
      </c>
      <c r="H373" t="s">
        <v>235</v>
      </c>
      <c r="I373" t="s">
        <v>234</v>
      </c>
      <c r="J373" t="s">
        <v>0</v>
      </c>
      <c r="K373" t="s">
        <v>1</v>
      </c>
      <c r="L373">
        <v>27457</v>
      </c>
      <c r="M373">
        <v>96</v>
      </c>
      <c r="N373">
        <v>44</v>
      </c>
      <c r="O373">
        <v>2242.7440000000001</v>
      </c>
      <c r="P373">
        <v>719.524</v>
      </c>
      <c r="Q373">
        <v>15</v>
      </c>
      <c r="R373">
        <v>15</v>
      </c>
      <c r="S373" t="s">
        <v>116</v>
      </c>
      <c r="T373">
        <v>15</v>
      </c>
      <c r="U373">
        <v>10</v>
      </c>
      <c r="V373">
        <v>5</v>
      </c>
      <c r="W373">
        <v>0</v>
      </c>
      <c r="X373">
        <v>0</v>
      </c>
      <c r="Y373" s="20">
        <f>SUM(Table1[[#This Row],[dty_type_cnt1]:[dty_type_cnt5]])</f>
        <v>30</v>
      </c>
    </row>
    <row r="374" spans="1:25" x14ac:dyDescent="0.25">
      <c r="A374" s="15">
        <v>46101</v>
      </c>
      <c r="B374" t="s">
        <v>430</v>
      </c>
      <c r="C374" t="s">
        <v>233</v>
      </c>
      <c r="D374" t="s">
        <v>49</v>
      </c>
      <c r="E374" t="s">
        <v>142</v>
      </c>
      <c r="F374" t="s">
        <v>65</v>
      </c>
      <c r="G374" t="s">
        <v>234</v>
      </c>
      <c r="H374" t="s">
        <v>235</v>
      </c>
      <c r="I374" t="s">
        <v>234</v>
      </c>
      <c r="J374" t="s">
        <v>0</v>
      </c>
      <c r="K374" t="s">
        <v>1</v>
      </c>
      <c r="L374">
        <v>27457</v>
      </c>
      <c r="M374">
        <v>78</v>
      </c>
      <c r="N374">
        <v>21</v>
      </c>
      <c r="O374">
        <v>1729.798</v>
      </c>
      <c r="P374">
        <v>385.3</v>
      </c>
      <c r="Q374">
        <v>20</v>
      </c>
      <c r="R374">
        <v>9</v>
      </c>
      <c r="S374" t="s">
        <v>116</v>
      </c>
      <c r="T374">
        <v>8</v>
      </c>
      <c r="U374">
        <v>8</v>
      </c>
      <c r="V374">
        <v>2</v>
      </c>
      <c r="W374">
        <v>0</v>
      </c>
      <c r="X374">
        <v>0</v>
      </c>
      <c r="Y374" s="20">
        <f>SUM(Table1[[#This Row],[dty_type_cnt1]:[dty_type_cnt5]])</f>
        <v>18</v>
      </c>
    </row>
    <row r="375" spans="1:25" x14ac:dyDescent="0.25">
      <c r="A375" s="15">
        <v>46101</v>
      </c>
      <c r="B375" t="s">
        <v>430</v>
      </c>
      <c r="C375" t="s">
        <v>233</v>
      </c>
      <c r="D375" t="s">
        <v>46</v>
      </c>
      <c r="E375">
        <v>17</v>
      </c>
      <c r="F375" t="s">
        <v>144</v>
      </c>
      <c r="G375" t="s">
        <v>234</v>
      </c>
      <c r="H375" t="s">
        <v>235</v>
      </c>
      <c r="I375" t="s">
        <v>234</v>
      </c>
      <c r="J375" t="s">
        <v>63</v>
      </c>
      <c r="K375" t="s">
        <v>1</v>
      </c>
      <c r="L375">
        <v>27457</v>
      </c>
      <c r="M375">
        <v>8</v>
      </c>
      <c r="N375">
        <v>2</v>
      </c>
      <c r="O375">
        <v>196.50800000000001</v>
      </c>
      <c r="P375">
        <v>2.9</v>
      </c>
      <c r="Q375">
        <v>105</v>
      </c>
      <c r="R375">
        <v>1</v>
      </c>
      <c r="S375" t="s">
        <v>116</v>
      </c>
      <c r="T375">
        <v>1</v>
      </c>
      <c r="U375">
        <v>1</v>
      </c>
      <c r="V375">
        <v>0</v>
      </c>
      <c r="W375">
        <v>0</v>
      </c>
      <c r="X375">
        <v>0</v>
      </c>
      <c r="Y375" s="20">
        <f>SUM(Table1[[#This Row],[dty_type_cnt1]:[dty_type_cnt5]])</f>
        <v>2</v>
      </c>
    </row>
    <row r="376" spans="1:25" x14ac:dyDescent="0.25">
      <c r="A376" s="15">
        <v>46101</v>
      </c>
      <c r="B376" t="s">
        <v>430</v>
      </c>
      <c r="C376" t="s">
        <v>233</v>
      </c>
      <c r="D376" t="s">
        <v>46</v>
      </c>
      <c r="E376">
        <v>22</v>
      </c>
      <c r="F376" t="s">
        <v>70</v>
      </c>
      <c r="G376" t="s">
        <v>234</v>
      </c>
      <c r="H376" t="s">
        <v>235</v>
      </c>
      <c r="I376" t="s">
        <v>234</v>
      </c>
      <c r="J376" t="s">
        <v>0</v>
      </c>
      <c r="K376" t="s">
        <v>1</v>
      </c>
      <c r="L376">
        <v>27457</v>
      </c>
      <c r="M376">
        <v>42</v>
      </c>
      <c r="N376">
        <v>10</v>
      </c>
      <c r="O376">
        <v>618.947</v>
      </c>
      <c r="P376">
        <v>170.3</v>
      </c>
      <c r="Q376">
        <v>20</v>
      </c>
      <c r="R376">
        <v>4</v>
      </c>
      <c r="S376" t="s">
        <v>116</v>
      </c>
      <c r="T376">
        <v>4</v>
      </c>
      <c r="U376">
        <v>2</v>
      </c>
      <c r="V376">
        <v>1</v>
      </c>
      <c r="W376">
        <v>0</v>
      </c>
      <c r="X376">
        <v>0</v>
      </c>
      <c r="Y376" s="20">
        <f>SUM(Table1[[#This Row],[dty_type_cnt1]:[dty_type_cnt5]])</f>
        <v>7</v>
      </c>
    </row>
    <row r="377" spans="1:25" x14ac:dyDescent="0.25">
      <c r="A377" s="15">
        <v>46101</v>
      </c>
      <c r="B377" t="s">
        <v>430</v>
      </c>
      <c r="C377" t="s">
        <v>233</v>
      </c>
      <c r="D377" t="s">
        <v>46</v>
      </c>
      <c r="E377">
        <v>27</v>
      </c>
      <c r="F377" t="s">
        <v>270</v>
      </c>
      <c r="G377" t="s">
        <v>234</v>
      </c>
      <c r="H377" t="s">
        <v>235</v>
      </c>
      <c r="I377" t="s">
        <v>234</v>
      </c>
      <c r="J377" t="s">
        <v>156</v>
      </c>
      <c r="K377" t="s">
        <v>1</v>
      </c>
      <c r="L377">
        <v>27457</v>
      </c>
      <c r="M377">
        <v>60</v>
      </c>
      <c r="N377">
        <v>10</v>
      </c>
      <c r="O377">
        <v>1199.7</v>
      </c>
      <c r="P377">
        <v>1</v>
      </c>
      <c r="Q377">
        <v>30</v>
      </c>
      <c r="R377">
        <v>5</v>
      </c>
      <c r="S377" t="s">
        <v>116</v>
      </c>
      <c r="T377">
        <v>5</v>
      </c>
      <c r="U377">
        <v>5</v>
      </c>
      <c r="V377">
        <v>0</v>
      </c>
      <c r="W377">
        <v>0</v>
      </c>
      <c r="X377">
        <v>0</v>
      </c>
      <c r="Y377" s="20">
        <f>SUM(Table1[[#This Row],[dty_type_cnt1]:[dty_type_cnt5]])</f>
        <v>10</v>
      </c>
    </row>
    <row r="378" spans="1:25" x14ac:dyDescent="0.25">
      <c r="A378" s="15">
        <v>46101</v>
      </c>
      <c r="B378" t="s">
        <v>430</v>
      </c>
      <c r="C378" t="s">
        <v>233</v>
      </c>
      <c r="D378" t="s">
        <v>46</v>
      </c>
      <c r="E378" t="s">
        <v>236</v>
      </c>
      <c r="F378" t="s">
        <v>237</v>
      </c>
      <c r="G378" t="s">
        <v>234</v>
      </c>
      <c r="H378" t="s">
        <v>235</v>
      </c>
      <c r="I378" t="s">
        <v>234</v>
      </c>
      <c r="J378" t="s">
        <v>0</v>
      </c>
      <c r="K378" t="s">
        <v>1</v>
      </c>
      <c r="L378">
        <v>27457</v>
      </c>
      <c r="M378">
        <v>30</v>
      </c>
      <c r="N378">
        <v>6</v>
      </c>
      <c r="O378">
        <v>922.86099999999999</v>
      </c>
      <c r="P378">
        <v>83.8</v>
      </c>
      <c r="Q378">
        <v>20</v>
      </c>
      <c r="R378">
        <v>3</v>
      </c>
      <c r="S378" t="s">
        <v>116</v>
      </c>
      <c r="T378">
        <v>3</v>
      </c>
      <c r="U378">
        <v>2</v>
      </c>
      <c r="V378">
        <v>1</v>
      </c>
      <c r="W378">
        <v>0</v>
      </c>
      <c r="X378">
        <v>0</v>
      </c>
      <c r="Y378" s="20">
        <f>SUM(Table1[[#This Row],[dty_type_cnt1]:[dty_type_cnt5]])</f>
        <v>6</v>
      </c>
    </row>
    <row r="379" spans="1:25" x14ac:dyDescent="0.25">
      <c r="A379" s="15">
        <v>46101</v>
      </c>
      <c r="B379" t="s">
        <v>430</v>
      </c>
      <c r="C379" t="s">
        <v>233</v>
      </c>
      <c r="D379" t="s">
        <v>46</v>
      </c>
      <c r="E379">
        <v>33</v>
      </c>
      <c r="F379" t="s">
        <v>238</v>
      </c>
      <c r="G379" t="s">
        <v>234</v>
      </c>
      <c r="H379" t="s">
        <v>235</v>
      </c>
      <c r="I379" t="s">
        <v>234</v>
      </c>
      <c r="J379" t="s">
        <v>0</v>
      </c>
      <c r="K379" t="s">
        <v>1</v>
      </c>
      <c r="L379">
        <v>27457</v>
      </c>
      <c r="M379">
        <v>50</v>
      </c>
      <c r="N379">
        <v>10</v>
      </c>
      <c r="O379">
        <v>1401.134</v>
      </c>
      <c r="P379">
        <v>138.6</v>
      </c>
      <c r="Q379">
        <v>25</v>
      </c>
      <c r="R379">
        <v>5</v>
      </c>
      <c r="S379" t="s">
        <v>116</v>
      </c>
      <c r="T379">
        <v>5</v>
      </c>
      <c r="U379">
        <v>5</v>
      </c>
      <c r="V379">
        <v>0</v>
      </c>
      <c r="W379">
        <v>0</v>
      </c>
      <c r="X379">
        <v>0</v>
      </c>
      <c r="Y379" s="20">
        <f>SUM(Table1[[#This Row],[dty_type_cnt1]:[dty_type_cnt5]])</f>
        <v>10</v>
      </c>
    </row>
    <row r="380" spans="1:25" x14ac:dyDescent="0.25">
      <c r="A380" s="15">
        <v>46101</v>
      </c>
      <c r="B380" t="s">
        <v>430</v>
      </c>
      <c r="C380" t="s">
        <v>233</v>
      </c>
      <c r="D380" t="s">
        <v>46</v>
      </c>
      <c r="E380">
        <v>34</v>
      </c>
      <c r="F380" t="s">
        <v>239</v>
      </c>
      <c r="G380" t="s">
        <v>234</v>
      </c>
      <c r="H380" t="s">
        <v>235</v>
      </c>
      <c r="I380" t="s">
        <v>234</v>
      </c>
      <c r="J380" t="s">
        <v>0</v>
      </c>
      <c r="K380" t="s">
        <v>1</v>
      </c>
      <c r="L380">
        <v>27457</v>
      </c>
      <c r="M380">
        <v>51</v>
      </c>
      <c r="N380">
        <v>10</v>
      </c>
      <c r="O380">
        <v>1198.182</v>
      </c>
      <c r="P380">
        <v>81.599999999999994</v>
      </c>
      <c r="Q380">
        <v>30</v>
      </c>
      <c r="R380">
        <v>5</v>
      </c>
      <c r="S380" t="s">
        <v>116</v>
      </c>
      <c r="T380">
        <v>4</v>
      </c>
      <c r="U380">
        <v>4</v>
      </c>
      <c r="V380">
        <v>1</v>
      </c>
      <c r="W380">
        <v>0</v>
      </c>
      <c r="X380">
        <v>0</v>
      </c>
      <c r="Y380" s="20">
        <f>SUM(Table1[[#This Row],[dty_type_cnt1]:[dty_type_cnt5]])</f>
        <v>9</v>
      </c>
    </row>
    <row r="381" spans="1:25" x14ac:dyDescent="0.25">
      <c r="A381" s="15">
        <v>46101</v>
      </c>
      <c r="B381" t="s">
        <v>430</v>
      </c>
      <c r="C381" t="s">
        <v>233</v>
      </c>
      <c r="D381" t="s">
        <v>46</v>
      </c>
      <c r="E381">
        <v>43</v>
      </c>
      <c r="F381" t="s">
        <v>143</v>
      </c>
      <c r="G381" t="s">
        <v>234</v>
      </c>
      <c r="H381" t="s">
        <v>235</v>
      </c>
      <c r="I381" t="s">
        <v>234</v>
      </c>
      <c r="J381" t="s">
        <v>0</v>
      </c>
      <c r="K381" t="s">
        <v>1</v>
      </c>
      <c r="L381">
        <v>27457</v>
      </c>
      <c r="M381">
        <v>57</v>
      </c>
      <c r="N381">
        <v>12</v>
      </c>
      <c r="O381">
        <v>942.15300000000002</v>
      </c>
      <c r="P381">
        <v>180</v>
      </c>
      <c r="Q381">
        <v>22</v>
      </c>
      <c r="R381">
        <v>6</v>
      </c>
      <c r="S381" t="s">
        <v>116</v>
      </c>
      <c r="T381">
        <v>6</v>
      </c>
      <c r="U381">
        <v>6</v>
      </c>
      <c r="V381">
        <v>0</v>
      </c>
      <c r="W381">
        <v>0</v>
      </c>
      <c r="X381">
        <v>0</v>
      </c>
      <c r="Y381" s="20">
        <f>SUM(Table1[[#This Row],[dty_type_cnt1]:[dty_type_cnt5]])</f>
        <v>12</v>
      </c>
    </row>
    <row r="382" spans="1:25" x14ac:dyDescent="0.25">
      <c r="A382" s="15">
        <v>46101</v>
      </c>
      <c r="B382" t="s">
        <v>430</v>
      </c>
      <c r="C382" t="s">
        <v>233</v>
      </c>
      <c r="D382" t="s">
        <v>46</v>
      </c>
      <c r="E382">
        <v>53</v>
      </c>
      <c r="F382" t="s">
        <v>74</v>
      </c>
      <c r="G382" t="s">
        <v>234</v>
      </c>
      <c r="H382" t="s">
        <v>235</v>
      </c>
      <c r="I382" t="s">
        <v>234</v>
      </c>
      <c r="J382" t="s">
        <v>0</v>
      </c>
      <c r="K382" t="s">
        <v>1</v>
      </c>
      <c r="L382">
        <v>27457</v>
      </c>
      <c r="M382">
        <v>38</v>
      </c>
      <c r="N382">
        <v>8</v>
      </c>
      <c r="O382">
        <v>1256.0329999999999</v>
      </c>
      <c r="P382">
        <v>0.8</v>
      </c>
      <c r="Q382">
        <v>20</v>
      </c>
      <c r="R382">
        <v>4</v>
      </c>
      <c r="S382" t="s">
        <v>116</v>
      </c>
      <c r="T382">
        <v>4</v>
      </c>
      <c r="U382">
        <v>4</v>
      </c>
      <c r="V382">
        <v>3</v>
      </c>
      <c r="W382">
        <v>0</v>
      </c>
      <c r="X382">
        <v>0</v>
      </c>
      <c r="Y382" s="20">
        <f>SUM(Table1[[#This Row],[dty_type_cnt1]:[dty_type_cnt5]])</f>
        <v>11</v>
      </c>
    </row>
    <row r="383" spans="1:25" x14ac:dyDescent="0.25">
      <c r="A383" s="15">
        <v>46101</v>
      </c>
      <c r="B383" t="s">
        <v>430</v>
      </c>
      <c r="C383" t="s">
        <v>233</v>
      </c>
      <c r="D383" t="s">
        <v>46</v>
      </c>
      <c r="E383">
        <v>64</v>
      </c>
      <c r="F383" t="s">
        <v>75</v>
      </c>
      <c r="G383" t="s">
        <v>234</v>
      </c>
      <c r="H383" t="s">
        <v>235</v>
      </c>
      <c r="I383" t="s">
        <v>234</v>
      </c>
      <c r="J383" t="s">
        <v>76</v>
      </c>
      <c r="K383" t="s">
        <v>1</v>
      </c>
      <c r="L383">
        <v>27457</v>
      </c>
      <c r="M383">
        <v>9</v>
      </c>
      <c r="N383">
        <v>2</v>
      </c>
      <c r="O383">
        <v>298.17500000000001</v>
      </c>
      <c r="P383">
        <v>18</v>
      </c>
      <c r="Q383">
        <v>200</v>
      </c>
      <c r="R383">
        <v>1</v>
      </c>
      <c r="S383" t="s">
        <v>116</v>
      </c>
      <c r="T383">
        <v>1</v>
      </c>
      <c r="U383">
        <v>1</v>
      </c>
      <c r="V383">
        <v>0</v>
      </c>
      <c r="W383">
        <v>0</v>
      </c>
      <c r="X383">
        <v>0</v>
      </c>
      <c r="Y383" s="20">
        <f>SUM(Table1[[#This Row],[dty_type_cnt1]:[dty_type_cnt5]])</f>
        <v>2</v>
      </c>
    </row>
    <row r="384" spans="1:25" x14ac:dyDescent="0.25">
      <c r="A384" s="15">
        <v>46101</v>
      </c>
      <c r="B384" t="s">
        <v>430</v>
      </c>
      <c r="C384" t="s">
        <v>233</v>
      </c>
      <c r="D384" t="s">
        <v>46</v>
      </c>
      <c r="E384">
        <v>88</v>
      </c>
      <c r="F384" t="s">
        <v>119</v>
      </c>
      <c r="G384" t="s">
        <v>234</v>
      </c>
      <c r="H384" t="s">
        <v>235</v>
      </c>
      <c r="I384" t="s">
        <v>234</v>
      </c>
      <c r="J384" t="s">
        <v>0</v>
      </c>
      <c r="K384" t="s">
        <v>1</v>
      </c>
      <c r="L384">
        <v>27457</v>
      </c>
      <c r="M384">
        <v>16</v>
      </c>
      <c r="N384">
        <v>4</v>
      </c>
      <c r="O384">
        <v>493.72</v>
      </c>
      <c r="P384">
        <v>13</v>
      </c>
      <c r="Q384">
        <v>30</v>
      </c>
      <c r="R384">
        <v>2</v>
      </c>
      <c r="S384" t="s">
        <v>116</v>
      </c>
      <c r="T384">
        <v>2</v>
      </c>
      <c r="U384">
        <v>2</v>
      </c>
      <c r="V384">
        <v>0</v>
      </c>
      <c r="W384">
        <v>0</v>
      </c>
      <c r="X384">
        <v>0</v>
      </c>
      <c r="Y384" s="20">
        <f>SUM(Table1[[#This Row],[dty_type_cnt1]:[dty_type_cnt5]])</f>
        <v>4</v>
      </c>
    </row>
    <row r="385" spans="1:25" x14ac:dyDescent="0.25">
      <c r="A385" s="15">
        <v>46101</v>
      </c>
      <c r="B385" t="s">
        <v>430</v>
      </c>
      <c r="C385" t="s">
        <v>233</v>
      </c>
      <c r="D385" t="s">
        <v>46</v>
      </c>
      <c r="E385" t="s">
        <v>56</v>
      </c>
      <c r="F385" t="s">
        <v>57</v>
      </c>
      <c r="G385" t="s">
        <v>234</v>
      </c>
      <c r="H385" t="s">
        <v>235</v>
      </c>
      <c r="I385" t="s">
        <v>234</v>
      </c>
      <c r="J385" t="s">
        <v>0</v>
      </c>
      <c r="K385" t="s">
        <v>1</v>
      </c>
      <c r="L385">
        <v>27457</v>
      </c>
      <c r="M385">
        <v>10</v>
      </c>
      <c r="N385">
        <v>2</v>
      </c>
      <c r="O385">
        <v>173.459</v>
      </c>
      <c r="P385">
        <v>0.4</v>
      </c>
      <c r="Q385">
        <v>20</v>
      </c>
      <c r="R385">
        <v>1</v>
      </c>
      <c r="S385" t="s">
        <v>116</v>
      </c>
      <c r="T385">
        <v>1</v>
      </c>
      <c r="U385">
        <v>1</v>
      </c>
      <c r="V385">
        <v>0</v>
      </c>
      <c r="W385">
        <v>0</v>
      </c>
      <c r="X385">
        <v>0</v>
      </c>
      <c r="Y385" s="20">
        <f>SUM(Table1[[#This Row],[dty_type_cnt1]:[dty_type_cnt5]])</f>
        <v>2</v>
      </c>
    </row>
    <row r="386" spans="1:25" x14ac:dyDescent="0.25">
      <c r="A386" s="15">
        <v>46101</v>
      </c>
      <c r="B386" t="s">
        <v>430</v>
      </c>
      <c r="C386" t="s">
        <v>233</v>
      </c>
      <c r="D386" t="s">
        <v>46</v>
      </c>
      <c r="E386" t="s">
        <v>382</v>
      </c>
      <c r="F386" t="s">
        <v>383</v>
      </c>
      <c r="G386" t="s">
        <v>234</v>
      </c>
      <c r="H386" t="s">
        <v>235</v>
      </c>
      <c r="I386" t="s">
        <v>234</v>
      </c>
      <c r="J386" t="s">
        <v>0</v>
      </c>
      <c r="K386" t="s">
        <v>1</v>
      </c>
      <c r="L386">
        <v>27457</v>
      </c>
      <c r="M386">
        <v>12</v>
      </c>
      <c r="N386">
        <v>2</v>
      </c>
      <c r="O386">
        <v>258.55399999999997</v>
      </c>
      <c r="P386">
        <v>0.2</v>
      </c>
      <c r="Q386">
        <v>90</v>
      </c>
      <c r="R386">
        <v>1</v>
      </c>
      <c r="S386" t="s">
        <v>116</v>
      </c>
      <c r="T386">
        <v>1</v>
      </c>
      <c r="U386">
        <v>1</v>
      </c>
      <c r="V386">
        <v>0</v>
      </c>
      <c r="W386">
        <v>0</v>
      </c>
      <c r="X386">
        <v>0</v>
      </c>
      <c r="Y386" s="20">
        <f>SUM(Table1[[#This Row],[dty_type_cnt1]:[dty_type_cnt5]])</f>
        <v>2</v>
      </c>
    </row>
    <row r="387" spans="1:25" x14ac:dyDescent="0.25">
      <c r="A387" s="15">
        <v>46101</v>
      </c>
      <c r="B387" t="s">
        <v>430</v>
      </c>
      <c r="C387" t="s">
        <v>233</v>
      </c>
      <c r="D387" t="s">
        <v>46</v>
      </c>
      <c r="E387" t="s">
        <v>50</v>
      </c>
      <c r="F387" t="s">
        <v>51</v>
      </c>
      <c r="G387" t="s">
        <v>234</v>
      </c>
      <c r="H387" t="s">
        <v>235</v>
      </c>
      <c r="I387" t="s">
        <v>234</v>
      </c>
      <c r="J387" t="s">
        <v>0</v>
      </c>
      <c r="K387" t="s">
        <v>1</v>
      </c>
      <c r="L387">
        <v>27457</v>
      </c>
      <c r="M387">
        <v>20</v>
      </c>
      <c r="N387">
        <v>4</v>
      </c>
      <c r="O387">
        <v>451.03</v>
      </c>
      <c r="P387">
        <v>8.4</v>
      </c>
      <c r="Q387">
        <v>30</v>
      </c>
      <c r="R387">
        <v>2</v>
      </c>
      <c r="S387" t="s">
        <v>116</v>
      </c>
      <c r="T387">
        <v>2</v>
      </c>
      <c r="U387">
        <v>2</v>
      </c>
      <c r="V387">
        <v>0</v>
      </c>
      <c r="W387">
        <v>0</v>
      </c>
      <c r="X387">
        <v>0</v>
      </c>
      <c r="Y387" s="20">
        <f>SUM(Table1[[#This Row],[dty_type_cnt1]:[dty_type_cnt5]])</f>
        <v>4</v>
      </c>
    </row>
    <row r="388" spans="1:25" x14ac:dyDescent="0.25">
      <c r="A388" s="15">
        <v>46101</v>
      </c>
      <c r="B388" t="s">
        <v>430</v>
      </c>
      <c r="C388" t="s">
        <v>233</v>
      </c>
      <c r="D388" t="s">
        <v>46</v>
      </c>
      <c r="E388" t="s">
        <v>124</v>
      </c>
      <c r="F388" t="s">
        <v>125</v>
      </c>
      <c r="G388" t="s">
        <v>234</v>
      </c>
      <c r="H388" t="s">
        <v>235</v>
      </c>
      <c r="I388" t="s">
        <v>234</v>
      </c>
      <c r="J388" t="s">
        <v>0</v>
      </c>
      <c r="K388" t="s">
        <v>1</v>
      </c>
      <c r="L388">
        <v>27457</v>
      </c>
      <c r="M388">
        <v>30</v>
      </c>
      <c r="N388">
        <v>6</v>
      </c>
      <c r="O388">
        <v>614.89</v>
      </c>
      <c r="P388">
        <v>129.30000000000001</v>
      </c>
      <c r="Q388">
        <v>30</v>
      </c>
      <c r="R388">
        <v>3</v>
      </c>
      <c r="S388" t="s">
        <v>116</v>
      </c>
      <c r="T388">
        <v>3</v>
      </c>
      <c r="U388">
        <v>3</v>
      </c>
      <c r="V388">
        <v>0</v>
      </c>
      <c r="W388">
        <v>0</v>
      </c>
      <c r="X388">
        <v>0</v>
      </c>
      <c r="Y388" s="20">
        <f>SUM(Table1[[#This Row],[dty_type_cnt1]:[dty_type_cnt5]])</f>
        <v>6</v>
      </c>
    </row>
    <row r="389" spans="1:25" x14ac:dyDescent="0.25">
      <c r="A389" s="15">
        <v>46101</v>
      </c>
      <c r="B389" t="s">
        <v>430</v>
      </c>
      <c r="C389" t="s">
        <v>233</v>
      </c>
      <c r="D389" t="s">
        <v>46</v>
      </c>
      <c r="E389" t="s">
        <v>240</v>
      </c>
      <c r="F389" t="s">
        <v>241</v>
      </c>
      <c r="G389" t="s">
        <v>234</v>
      </c>
      <c r="H389" t="s">
        <v>235</v>
      </c>
      <c r="I389" t="s">
        <v>234</v>
      </c>
      <c r="J389" t="s">
        <v>0</v>
      </c>
      <c r="K389" t="s">
        <v>1</v>
      </c>
      <c r="L389">
        <v>27457</v>
      </c>
      <c r="M389">
        <v>59</v>
      </c>
      <c r="N389">
        <v>20</v>
      </c>
      <c r="O389">
        <v>1405.8040000000001</v>
      </c>
      <c r="P389">
        <v>345.4</v>
      </c>
      <c r="Q389">
        <v>15</v>
      </c>
      <c r="R389">
        <v>8</v>
      </c>
      <c r="S389" t="s">
        <v>116</v>
      </c>
      <c r="T389">
        <v>7</v>
      </c>
      <c r="U389">
        <v>7</v>
      </c>
      <c r="V389">
        <v>1</v>
      </c>
      <c r="W389">
        <v>0</v>
      </c>
      <c r="X389">
        <v>0</v>
      </c>
      <c r="Y389" s="20">
        <f>SUM(Table1[[#This Row],[dty_type_cnt1]:[dty_type_cnt5]])</f>
        <v>15</v>
      </c>
    </row>
    <row r="390" spans="1:25" x14ac:dyDescent="0.25">
      <c r="A390" s="15">
        <v>46101</v>
      </c>
      <c r="B390" t="s">
        <v>430</v>
      </c>
      <c r="C390" t="s">
        <v>233</v>
      </c>
      <c r="D390" t="s">
        <v>46</v>
      </c>
      <c r="E390" t="s">
        <v>242</v>
      </c>
      <c r="F390" t="s">
        <v>243</v>
      </c>
      <c r="G390" t="s">
        <v>234</v>
      </c>
      <c r="H390" t="s">
        <v>235</v>
      </c>
      <c r="I390" t="s">
        <v>234</v>
      </c>
      <c r="J390" t="s">
        <v>0</v>
      </c>
      <c r="K390" t="s">
        <v>1</v>
      </c>
      <c r="L390">
        <v>27457</v>
      </c>
      <c r="M390">
        <v>64</v>
      </c>
      <c r="N390">
        <v>12</v>
      </c>
      <c r="O390">
        <v>1231.0719999999999</v>
      </c>
      <c r="P390">
        <v>346.2</v>
      </c>
      <c r="Q390">
        <v>30</v>
      </c>
      <c r="R390">
        <v>6</v>
      </c>
      <c r="S390" t="s">
        <v>116</v>
      </c>
      <c r="T390">
        <v>5</v>
      </c>
      <c r="U390">
        <v>6</v>
      </c>
      <c r="V390">
        <v>0</v>
      </c>
      <c r="W390">
        <v>0</v>
      </c>
      <c r="X390">
        <v>0</v>
      </c>
      <c r="Y390" s="20">
        <f>SUM(Table1[[#This Row],[dty_type_cnt1]:[dty_type_cnt5]])</f>
        <v>11</v>
      </c>
    </row>
    <row r="391" spans="1:25" x14ac:dyDescent="0.25">
      <c r="A391" s="15">
        <v>46101</v>
      </c>
      <c r="B391" t="s">
        <v>430</v>
      </c>
      <c r="C391" t="s">
        <v>233</v>
      </c>
      <c r="D391" t="s">
        <v>176</v>
      </c>
      <c r="E391" t="s">
        <v>339</v>
      </c>
      <c r="F391" t="s">
        <v>340</v>
      </c>
      <c r="G391" t="s">
        <v>234</v>
      </c>
      <c r="H391" t="s">
        <v>235</v>
      </c>
      <c r="I391" t="s">
        <v>234</v>
      </c>
      <c r="J391" t="s">
        <v>76</v>
      </c>
      <c r="K391" t="s">
        <v>1</v>
      </c>
      <c r="L391">
        <v>27457</v>
      </c>
      <c r="M391">
        <v>13</v>
      </c>
      <c r="N391">
        <v>2</v>
      </c>
      <c r="O391">
        <v>214.84299999999999</v>
      </c>
      <c r="P391">
        <v>17.2</v>
      </c>
      <c r="Q391">
        <v>60</v>
      </c>
      <c r="R391">
        <v>1</v>
      </c>
      <c r="S391" t="s">
        <v>116</v>
      </c>
      <c r="T391">
        <v>1</v>
      </c>
      <c r="U391">
        <v>1</v>
      </c>
      <c r="V391">
        <v>0</v>
      </c>
      <c r="W391">
        <v>0</v>
      </c>
      <c r="X391">
        <v>0</v>
      </c>
      <c r="Y391" s="20">
        <f>SUM(Table1[[#This Row],[dty_type_cnt1]:[dty_type_cnt5]])</f>
        <v>2</v>
      </c>
    </row>
    <row r="392" spans="1:25" x14ac:dyDescent="0.25">
      <c r="A392" s="15">
        <v>46101</v>
      </c>
      <c r="B392" t="s">
        <v>430</v>
      </c>
      <c r="C392" t="s">
        <v>233</v>
      </c>
      <c r="D392" t="s">
        <v>176</v>
      </c>
      <c r="E392" t="s">
        <v>345</v>
      </c>
      <c r="F392" t="s">
        <v>346</v>
      </c>
      <c r="G392" t="s">
        <v>234</v>
      </c>
      <c r="H392" t="s">
        <v>235</v>
      </c>
      <c r="I392" t="s">
        <v>234</v>
      </c>
      <c r="J392" t="s">
        <v>76</v>
      </c>
      <c r="K392" t="s">
        <v>1</v>
      </c>
      <c r="L392">
        <v>27457</v>
      </c>
      <c r="M392">
        <v>13</v>
      </c>
      <c r="N392">
        <v>2</v>
      </c>
      <c r="O392">
        <v>194.01</v>
      </c>
      <c r="P392">
        <v>13.2</v>
      </c>
      <c r="Q392">
        <v>30</v>
      </c>
      <c r="R392">
        <v>1</v>
      </c>
      <c r="S392" t="s">
        <v>116</v>
      </c>
      <c r="T392">
        <v>1</v>
      </c>
      <c r="U392">
        <v>1</v>
      </c>
      <c r="V392">
        <v>0</v>
      </c>
      <c r="W392">
        <v>0</v>
      </c>
      <c r="X392">
        <v>0</v>
      </c>
      <c r="Y392" s="20">
        <f>SUM(Table1[[#This Row],[dty_type_cnt1]:[dty_type_cnt5]])</f>
        <v>2</v>
      </c>
    </row>
    <row r="393" spans="1:25" x14ac:dyDescent="0.25">
      <c r="A393" s="15">
        <v>46102</v>
      </c>
      <c r="B393" t="s">
        <v>430</v>
      </c>
      <c r="C393" t="s">
        <v>233</v>
      </c>
      <c r="D393" t="s">
        <v>176</v>
      </c>
      <c r="E393" t="s">
        <v>347</v>
      </c>
      <c r="F393" t="s">
        <v>348</v>
      </c>
      <c r="G393" t="s">
        <v>234</v>
      </c>
      <c r="H393" t="s">
        <v>235</v>
      </c>
      <c r="I393" t="s">
        <v>234</v>
      </c>
      <c r="J393" t="s">
        <v>76</v>
      </c>
      <c r="K393" t="s">
        <v>1</v>
      </c>
      <c r="L393">
        <v>27457</v>
      </c>
      <c r="M393">
        <v>19</v>
      </c>
      <c r="N393">
        <v>2</v>
      </c>
      <c r="O393">
        <v>207.16900000000001</v>
      </c>
      <c r="P393">
        <v>15.4</v>
      </c>
      <c r="Q393">
        <v>30</v>
      </c>
      <c r="R393">
        <v>1</v>
      </c>
      <c r="S393" t="s">
        <v>116</v>
      </c>
      <c r="T393">
        <v>2</v>
      </c>
      <c r="U393">
        <v>0</v>
      </c>
      <c r="V393">
        <v>1</v>
      </c>
      <c r="W393">
        <v>0</v>
      </c>
      <c r="X393">
        <v>0</v>
      </c>
      <c r="Y393" s="20">
        <f>SUM(Table1[[#This Row],[dty_type_cnt1]:[dty_type_cnt5]])</f>
        <v>3</v>
      </c>
    </row>
    <row r="394" spans="1:25" x14ac:dyDescent="0.25">
      <c r="A394" s="15">
        <v>46102</v>
      </c>
      <c r="B394" t="s">
        <v>430</v>
      </c>
      <c r="C394" t="s">
        <v>233</v>
      </c>
      <c r="D394" t="s">
        <v>176</v>
      </c>
      <c r="E394" t="s">
        <v>351</v>
      </c>
      <c r="F394" t="s">
        <v>352</v>
      </c>
      <c r="G394" t="s">
        <v>234</v>
      </c>
      <c r="H394" t="s">
        <v>235</v>
      </c>
      <c r="I394" t="s">
        <v>234</v>
      </c>
      <c r="J394" t="s">
        <v>76</v>
      </c>
      <c r="K394" t="s">
        <v>1</v>
      </c>
      <c r="L394">
        <v>27457</v>
      </c>
      <c r="M394">
        <v>10</v>
      </c>
      <c r="N394">
        <v>2</v>
      </c>
      <c r="O394">
        <v>331.28500000000003</v>
      </c>
      <c r="P394">
        <v>0.4</v>
      </c>
      <c r="Q394">
        <v>20</v>
      </c>
      <c r="R394">
        <v>1</v>
      </c>
      <c r="S394" t="s">
        <v>116</v>
      </c>
      <c r="T394">
        <v>1</v>
      </c>
      <c r="U394">
        <v>1</v>
      </c>
      <c r="V394">
        <v>0</v>
      </c>
      <c r="W394">
        <v>0</v>
      </c>
      <c r="X394">
        <v>0</v>
      </c>
      <c r="Y394" s="20">
        <f>SUM(Table1[[#This Row],[dty_type_cnt1]:[dty_type_cnt5]])</f>
        <v>2</v>
      </c>
    </row>
    <row r="395" spans="1:25" x14ac:dyDescent="0.25">
      <c r="A395" s="15">
        <v>46102</v>
      </c>
      <c r="B395" t="s">
        <v>430</v>
      </c>
      <c r="C395" t="s">
        <v>233</v>
      </c>
      <c r="D395" t="s">
        <v>54</v>
      </c>
      <c r="E395" t="s">
        <v>79</v>
      </c>
      <c r="F395" t="s">
        <v>113</v>
      </c>
      <c r="G395" t="s">
        <v>234</v>
      </c>
      <c r="H395" t="s">
        <v>235</v>
      </c>
      <c r="I395" t="s">
        <v>234</v>
      </c>
      <c r="J395" t="s">
        <v>0</v>
      </c>
      <c r="K395" t="s">
        <v>1</v>
      </c>
      <c r="L395">
        <v>27457</v>
      </c>
      <c r="M395">
        <v>32</v>
      </c>
      <c r="N395">
        <v>4</v>
      </c>
      <c r="O395">
        <v>298.755</v>
      </c>
      <c r="P395">
        <v>0.8</v>
      </c>
      <c r="Q395">
        <v>20</v>
      </c>
      <c r="R395">
        <v>2</v>
      </c>
      <c r="S395" t="s">
        <v>116</v>
      </c>
      <c r="T395">
        <v>2</v>
      </c>
      <c r="U395">
        <v>2</v>
      </c>
      <c r="V395">
        <v>0</v>
      </c>
      <c r="W395">
        <v>0</v>
      </c>
      <c r="X395">
        <v>0</v>
      </c>
      <c r="Y395" s="20">
        <f>SUM(Table1[[#This Row],[dty_type_cnt1]:[dty_type_cnt5]])</f>
        <v>4</v>
      </c>
    </row>
    <row r="396" spans="1:25" x14ac:dyDescent="0.25">
      <c r="A396" s="15">
        <v>46102</v>
      </c>
      <c r="B396" t="s">
        <v>430</v>
      </c>
      <c r="C396" t="s">
        <v>233</v>
      </c>
      <c r="D396" t="s">
        <v>54</v>
      </c>
      <c r="E396" t="s">
        <v>80</v>
      </c>
      <c r="F396" t="s">
        <v>81</v>
      </c>
      <c r="G396" t="s">
        <v>234</v>
      </c>
      <c r="H396" t="s">
        <v>235</v>
      </c>
      <c r="I396" t="s">
        <v>234</v>
      </c>
      <c r="J396" t="s">
        <v>0</v>
      </c>
      <c r="K396" t="s">
        <v>1</v>
      </c>
      <c r="L396">
        <v>27457</v>
      </c>
      <c r="M396">
        <v>73</v>
      </c>
      <c r="N396">
        <v>8</v>
      </c>
      <c r="O396">
        <v>1140.3330000000001</v>
      </c>
      <c r="P396">
        <v>150.4</v>
      </c>
      <c r="Q396">
        <v>15</v>
      </c>
      <c r="R396">
        <v>4</v>
      </c>
      <c r="S396" t="s">
        <v>116</v>
      </c>
      <c r="T396">
        <v>5</v>
      </c>
      <c r="U396">
        <v>2</v>
      </c>
      <c r="V396">
        <v>1</v>
      </c>
      <c r="W396">
        <v>0</v>
      </c>
      <c r="X396">
        <v>0</v>
      </c>
      <c r="Y396" s="20">
        <f>SUM(Table1[[#This Row],[dty_type_cnt1]:[dty_type_cnt5]])</f>
        <v>8</v>
      </c>
    </row>
    <row r="397" spans="1:25" x14ac:dyDescent="0.25">
      <c r="A397" s="15">
        <v>46102</v>
      </c>
      <c r="B397" t="s">
        <v>430</v>
      </c>
      <c r="C397" t="s">
        <v>233</v>
      </c>
      <c r="D397" t="s">
        <v>54</v>
      </c>
      <c r="E397" t="s">
        <v>244</v>
      </c>
      <c r="F397" t="s">
        <v>245</v>
      </c>
      <c r="G397" t="s">
        <v>234</v>
      </c>
      <c r="H397" t="s">
        <v>235</v>
      </c>
      <c r="I397" t="s">
        <v>234</v>
      </c>
      <c r="J397" t="s">
        <v>0</v>
      </c>
      <c r="K397" t="s">
        <v>1</v>
      </c>
      <c r="L397">
        <v>27457</v>
      </c>
      <c r="M397">
        <v>98</v>
      </c>
      <c r="N397">
        <v>26</v>
      </c>
      <c r="O397">
        <v>1986.393</v>
      </c>
      <c r="P397">
        <v>439.1</v>
      </c>
      <c r="Q397">
        <v>20</v>
      </c>
      <c r="R397">
        <v>9</v>
      </c>
      <c r="S397" t="s">
        <v>116</v>
      </c>
      <c r="T397">
        <v>9</v>
      </c>
      <c r="U397">
        <v>7</v>
      </c>
      <c r="V397">
        <v>4</v>
      </c>
      <c r="W397">
        <v>0</v>
      </c>
      <c r="X397">
        <v>0</v>
      </c>
      <c r="Y397" s="20">
        <f>SUM(Table1[[#This Row],[dty_type_cnt1]:[dty_type_cnt5]])</f>
        <v>20</v>
      </c>
    </row>
    <row r="398" spans="1:25" x14ac:dyDescent="0.25">
      <c r="A398" s="15">
        <v>46102</v>
      </c>
      <c r="B398" t="s">
        <v>430</v>
      </c>
      <c r="C398" t="s">
        <v>233</v>
      </c>
      <c r="D398" t="s">
        <v>54</v>
      </c>
      <c r="E398" t="s">
        <v>246</v>
      </c>
      <c r="F398" t="s">
        <v>247</v>
      </c>
      <c r="G398" t="s">
        <v>234</v>
      </c>
      <c r="H398" t="s">
        <v>235</v>
      </c>
      <c r="I398" t="s">
        <v>234</v>
      </c>
      <c r="J398" t="s">
        <v>0</v>
      </c>
      <c r="K398" t="s">
        <v>1</v>
      </c>
      <c r="L398">
        <v>27457</v>
      </c>
      <c r="M398">
        <v>90</v>
      </c>
      <c r="N398">
        <v>14</v>
      </c>
      <c r="O398">
        <v>790.64099999999996</v>
      </c>
      <c r="P398">
        <v>208.83500000000001</v>
      </c>
      <c r="Q398">
        <v>10</v>
      </c>
      <c r="R398">
        <v>5</v>
      </c>
      <c r="S398" t="s">
        <v>116</v>
      </c>
      <c r="T398">
        <v>4</v>
      </c>
      <c r="U398">
        <v>5</v>
      </c>
      <c r="V398">
        <v>1</v>
      </c>
      <c r="W398">
        <v>0</v>
      </c>
      <c r="X398">
        <v>0</v>
      </c>
      <c r="Y398" s="20">
        <f>SUM(Table1[[#This Row],[dty_type_cnt1]:[dty_type_cnt5]])</f>
        <v>10</v>
      </c>
    </row>
    <row r="399" spans="1:25" x14ac:dyDescent="0.25">
      <c r="A399" s="15">
        <v>46102</v>
      </c>
      <c r="B399" t="s">
        <v>430</v>
      </c>
      <c r="C399" t="s">
        <v>233</v>
      </c>
      <c r="D399" t="s">
        <v>54</v>
      </c>
      <c r="E399" t="s">
        <v>92</v>
      </c>
      <c r="F399" t="s">
        <v>357</v>
      </c>
      <c r="G399" t="s">
        <v>234</v>
      </c>
      <c r="H399" t="s">
        <v>235</v>
      </c>
      <c r="I399" t="s">
        <v>234</v>
      </c>
      <c r="J399" t="s">
        <v>76</v>
      </c>
      <c r="K399" t="s">
        <v>1</v>
      </c>
      <c r="L399">
        <v>27457</v>
      </c>
      <c r="M399">
        <v>31</v>
      </c>
      <c r="N399">
        <v>1</v>
      </c>
      <c r="O399">
        <v>127.956</v>
      </c>
      <c r="P399">
        <v>2.4</v>
      </c>
      <c r="Q399">
        <v>20</v>
      </c>
      <c r="R399">
        <v>0</v>
      </c>
      <c r="S399" t="s">
        <v>116</v>
      </c>
      <c r="T399">
        <v>1</v>
      </c>
      <c r="U399">
        <v>1</v>
      </c>
      <c r="V399">
        <v>0</v>
      </c>
      <c r="W399">
        <v>0</v>
      </c>
      <c r="X399">
        <v>0</v>
      </c>
      <c r="Y399" s="20">
        <f>SUM(Table1[[#This Row],[dty_type_cnt1]:[dty_type_cnt5]])</f>
        <v>2</v>
      </c>
    </row>
    <row r="400" spans="1:25" x14ac:dyDescent="0.25">
      <c r="A400" s="15">
        <v>46102</v>
      </c>
      <c r="B400" t="s">
        <v>430</v>
      </c>
      <c r="C400" t="s">
        <v>233</v>
      </c>
      <c r="D400" t="s">
        <v>54</v>
      </c>
      <c r="E400" t="s">
        <v>93</v>
      </c>
      <c r="F400" t="s">
        <v>358</v>
      </c>
      <c r="G400" t="s">
        <v>234</v>
      </c>
      <c r="H400" t="s">
        <v>235</v>
      </c>
      <c r="I400" t="s">
        <v>234</v>
      </c>
      <c r="J400" t="s">
        <v>156</v>
      </c>
      <c r="K400" t="s">
        <v>1</v>
      </c>
      <c r="L400">
        <v>27457</v>
      </c>
      <c r="M400">
        <v>3</v>
      </c>
      <c r="N400">
        <v>1</v>
      </c>
      <c r="O400">
        <v>9.43</v>
      </c>
      <c r="P400">
        <v>5.4</v>
      </c>
      <c r="Q400">
        <v>7</v>
      </c>
      <c r="R400">
        <v>1</v>
      </c>
      <c r="S400" t="s">
        <v>116</v>
      </c>
      <c r="T400">
        <v>0</v>
      </c>
      <c r="U400">
        <v>0</v>
      </c>
      <c r="V400">
        <v>0</v>
      </c>
      <c r="W400">
        <v>0</v>
      </c>
      <c r="X400">
        <v>0</v>
      </c>
      <c r="Y400" s="20">
        <f>SUM(Table1[[#This Row],[dty_type_cnt1]:[dty_type_cnt5]])</f>
        <v>0</v>
      </c>
    </row>
    <row r="401" spans="1:25" x14ac:dyDescent="0.25">
      <c r="A401" s="15">
        <v>46102</v>
      </c>
      <c r="B401" t="s">
        <v>430</v>
      </c>
      <c r="C401" t="s">
        <v>233</v>
      </c>
      <c r="D401" t="s">
        <v>54</v>
      </c>
      <c r="E401" t="s">
        <v>132</v>
      </c>
      <c r="F401" t="s">
        <v>133</v>
      </c>
      <c r="G401" t="s">
        <v>234</v>
      </c>
      <c r="H401" t="s">
        <v>235</v>
      </c>
      <c r="I401" t="s">
        <v>234</v>
      </c>
      <c r="J401" t="s">
        <v>0</v>
      </c>
      <c r="K401" t="s">
        <v>1</v>
      </c>
      <c r="L401">
        <v>27457</v>
      </c>
      <c r="M401">
        <v>37</v>
      </c>
      <c r="N401">
        <v>4</v>
      </c>
      <c r="O401">
        <v>246.45699999999999</v>
      </c>
      <c r="P401">
        <v>0.8</v>
      </c>
      <c r="Q401">
        <v>20</v>
      </c>
      <c r="R401">
        <v>2</v>
      </c>
      <c r="S401" t="s">
        <v>116</v>
      </c>
      <c r="T401">
        <v>2</v>
      </c>
      <c r="U401">
        <v>2</v>
      </c>
      <c r="V401">
        <v>0</v>
      </c>
      <c r="W401">
        <v>0</v>
      </c>
      <c r="X401">
        <v>0</v>
      </c>
      <c r="Y401" s="20">
        <f>SUM(Table1[[#This Row],[dty_type_cnt1]:[dty_type_cnt5]])</f>
        <v>4</v>
      </c>
    </row>
    <row r="402" spans="1:25" x14ac:dyDescent="0.25">
      <c r="A402" s="15">
        <v>46102</v>
      </c>
      <c r="B402" t="s">
        <v>430</v>
      </c>
      <c r="C402" t="s">
        <v>233</v>
      </c>
      <c r="D402" t="s">
        <v>54</v>
      </c>
      <c r="E402" t="s">
        <v>248</v>
      </c>
      <c r="F402" t="s">
        <v>249</v>
      </c>
      <c r="G402" t="s">
        <v>234</v>
      </c>
      <c r="H402" t="s">
        <v>235</v>
      </c>
      <c r="I402" t="s">
        <v>234</v>
      </c>
      <c r="J402" t="s">
        <v>0</v>
      </c>
      <c r="K402" t="s">
        <v>1</v>
      </c>
      <c r="L402">
        <v>27457</v>
      </c>
      <c r="M402">
        <v>52</v>
      </c>
      <c r="N402">
        <v>12</v>
      </c>
      <c r="O402">
        <v>728.62400000000002</v>
      </c>
      <c r="P402">
        <v>182.5</v>
      </c>
      <c r="Q402">
        <v>20</v>
      </c>
      <c r="R402">
        <v>5</v>
      </c>
      <c r="S402" t="s">
        <v>116</v>
      </c>
      <c r="T402">
        <v>4</v>
      </c>
      <c r="U402">
        <v>3</v>
      </c>
      <c r="V402">
        <v>2</v>
      </c>
      <c r="W402">
        <v>0</v>
      </c>
      <c r="X402">
        <v>0</v>
      </c>
      <c r="Y402" s="20">
        <f>SUM(Table1[[#This Row],[dty_type_cnt1]:[dty_type_cnt5]])</f>
        <v>9</v>
      </c>
    </row>
    <row r="403" spans="1:25" x14ac:dyDescent="0.25">
      <c r="A403" s="15">
        <v>46102</v>
      </c>
      <c r="B403" t="s">
        <v>430</v>
      </c>
      <c r="C403" t="s">
        <v>233</v>
      </c>
      <c r="D403" t="s">
        <v>49</v>
      </c>
      <c r="E403" t="s">
        <v>250</v>
      </c>
      <c r="F403" t="s">
        <v>251</v>
      </c>
      <c r="G403" t="s">
        <v>234</v>
      </c>
      <c r="H403" t="s">
        <v>235</v>
      </c>
      <c r="I403" t="s">
        <v>234</v>
      </c>
      <c r="J403" t="s">
        <v>0</v>
      </c>
      <c r="K403" t="s">
        <v>1</v>
      </c>
      <c r="L403">
        <v>27457</v>
      </c>
      <c r="M403">
        <v>34</v>
      </c>
      <c r="N403">
        <v>10</v>
      </c>
      <c r="O403">
        <v>786.64099999999996</v>
      </c>
      <c r="P403">
        <v>162</v>
      </c>
      <c r="Q403">
        <v>20</v>
      </c>
      <c r="R403">
        <v>5</v>
      </c>
      <c r="S403" t="s">
        <v>116</v>
      </c>
      <c r="T403">
        <v>4</v>
      </c>
      <c r="U403">
        <v>3</v>
      </c>
      <c r="V403">
        <v>1</v>
      </c>
      <c r="W403">
        <v>0</v>
      </c>
      <c r="X403">
        <v>0</v>
      </c>
      <c r="Y403" s="20">
        <f>SUM(Table1[[#This Row],[dty_type_cnt1]:[dty_type_cnt5]])</f>
        <v>8</v>
      </c>
    </row>
    <row r="404" spans="1:25" x14ac:dyDescent="0.25">
      <c r="A404" s="15">
        <v>46102</v>
      </c>
      <c r="B404" t="s">
        <v>430</v>
      </c>
      <c r="C404" t="s">
        <v>233</v>
      </c>
      <c r="D404" t="s">
        <v>49</v>
      </c>
      <c r="E404" t="s">
        <v>252</v>
      </c>
      <c r="F404" t="s">
        <v>253</v>
      </c>
      <c r="G404" t="s">
        <v>234</v>
      </c>
      <c r="H404" t="s">
        <v>235</v>
      </c>
      <c r="I404" t="s">
        <v>234</v>
      </c>
      <c r="J404" t="s">
        <v>0</v>
      </c>
      <c r="K404" t="s">
        <v>1</v>
      </c>
      <c r="L404">
        <v>27457</v>
      </c>
      <c r="M404">
        <v>50</v>
      </c>
      <c r="N404">
        <v>44</v>
      </c>
      <c r="O404">
        <v>1739.769</v>
      </c>
      <c r="P404">
        <v>606</v>
      </c>
      <c r="Q404">
        <v>15</v>
      </c>
      <c r="R404">
        <v>11</v>
      </c>
      <c r="S404" t="s">
        <v>116</v>
      </c>
      <c r="T404">
        <v>11</v>
      </c>
      <c r="U404">
        <v>7</v>
      </c>
      <c r="V404">
        <v>4</v>
      </c>
      <c r="W404">
        <v>0</v>
      </c>
      <c r="X404">
        <v>0</v>
      </c>
      <c r="Y404" s="20">
        <f>SUM(Table1[[#This Row],[dty_type_cnt1]:[dty_type_cnt5]])</f>
        <v>22</v>
      </c>
    </row>
    <row r="405" spans="1:25" x14ac:dyDescent="0.25">
      <c r="A405" s="15">
        <v>46102</v>
      </c>
      <c r="B405" t="s">
        <v>430</v>
      </c>
      <c r="C405" t="s">
        <v>233</v>
      </c>
      <c r="D405" t="s">
        <v>49</v>
      </c>
      <c r="E405" t="s">
        <v>254</v>
      </c>
      <c r="F405" t="s">
        <v>255</v>
      </c>
      <c r="G405" t="s">
        <v>234</v>
      </c>
      <c r="H405" t="s">
        <v>235</v>
      </c>
      <c r="I405" t="s">
        <v>234</v>
      </c>
      <c r="J405" t="s">
        <v>0</v>
      </c>
      <c r="K405" t="s">
        <v>1</v>
      </c>
      <c r="L405">
        <v>27457</v>
      </c>
      <c r="M405">
        <v>32</v>
      </c>
      <c r="N405">
        <v>8</v>
      </c>
      <c r="O405">
        <v>929.13599999999997</v>
      </c>
      <c r="P405">
        <v>129.6</v>
      </c>
      <c r="Q405">
        <v>30</v>
      </c>
      <c r="R405">
        <v>4</v>
      </c>
      <c r="S405" t="s">
        <v>116</v>
      </c>
      <c r="T405">
        <v>4</v>
      </c>
      <c r="U405">
        <v>4</v>
      </c>
      <c r="V405">
        <v>0</v>
      </c>
      <c r="W405">
        <v>0</v>
      </c>
      <c r="X405">
        <v>0</v>
      </c>
      <c r="Y405" s="20">
        <f>SUM(Table1[[#This Row],[dty_type_cnt1]:[dty_type_cnt5]])</f>
        <v>8</v>
      </c>
    </row>
    <row r="406" spans="1:25" x14ac:dyDescent="0.25">
      <c r="A406" s="15">
        <v>46102</v>
      </c>
      <c r="B406" t="s">
        <v>430</v>
      </c>
      <c r="C406" t="s">
        <v>233</v>
      </c>
      <c r="D406" t="s">
        <v>46</v>
      </c>
      <c r="E406">
        <v>5</v>
      </c>
      <c r="F406" t="s">
        <v>112</v>
      </c>
      <c r="G406" t="s">
        <v>234</v>
      </c>
      <c r="H406" t="s">
        <v>235</v>
      </c>
      <c r="I406" t="s">
        <v>234</v>
      </c>
      <c r="J406" t="s">
        <v>156</v>
      </c>
      <c r="K406" t="s">
        <v>2</v>
      </c>
      <c r="L406">
        <v>27456</v>
      </c>
      <c r="M406">
        <v>65</v>
      </c>
      <c r="N406">
        <v>8</v>
      </c>
      <c r="O406">
        <v>517.39800000000002</v>
      </c>
      <c r="P406">
        <v>5.9</v>
      </c>
      <c r="Q406">
        <v>20</v>
      </c>
      <c r="R406">
        <v>4</v>
      </c>
      <c r="S406" t="s">
        <v>116</v>
      </c>
      <c r="T406">
        <v>4</v>
      </c>
      <c r="U406">
        <v>4</v>
      </c>
      <c r="V406">
        <v>0</v>
      </c>
      <c r="W406">
        <v>0</v>
      </c>
      <c r="X406">
        <v>0</v>
      </c>
      <c r="Y406" s="20">
        <f>SUM(Table1[[#This Row],[dty_type_cnt1]:[dty_type_cnt5]])</f>
        <v>8</v>
      </c>
    </row>
    <row r="407" spans="1:25" x14ac:dyDescent="0.25">
      <c r="A407" s="15">
        <v>46102</v>
      </c>
      <c r="B407" t="s">
        <v>430</v>
      </c>
      <c r="C407" t="s">
        <v>233</v>
      </c>
      <c r="D407" t="s">
        <v>46</v>
      </c>
      <c r="E407" t="s">
        <v>141</v>
      </c>
      <c r="F407" t="s">
        <v>65</v>
      </c>
      <c r="G407" t="s">
        <v>234</v>
      </c>
      <c r="H407" t="s">
        <v>235</v>
      </c>
      <c r="I407" t="s">
        <v>234</v>
      </c>
      <c r="J407" t="s">
        <v>0</v>
      </c>
      <c r="K407" t="s">
        <v>2</v>
      </c>
      <c r="L407">
        <v>27456</v>
      </c>
      <c r="M407">
        <v>83</v>
      </c>
      <c r="N407">
        <v>22</v>
      </c>
      <c r="O407">
        <v>1936.691</v>
      </c>
      <c r="P407">
        <v>408.3</v>
      </c>
      <c r="Q407">
        <v>25</v>
      </c>
      <c r="R407">
        <v>11</v>
      </c>
      <c r="S407" t="s">
        <v>116</v>
      </c>
      <c r="T407">
        <v>12</v>
      </c>
      <c r="U407">
        <v>8</v>
      </c>
      <c r="V407">
        <v>3</v>
      </c>
      <c r="W407">
        <v>0</v>
      </c>
      <c r="X407">
        <v>0</v>
      </c>
      <c r="Y407" s="20">
        <f>SUM(Table1[[#This Row],[dty_type_cnt1]:[dty_type_cnt5]])</f>
        <v>23</v>
      </c>
    </row>
    <row r="408" spans="1:25" x14ac:dyDescent="0.25">
      <c r="A408" s="15">
        <v>46102</v>
      </c>
      <c r="B408" t="s">
        <v>430</v>
      </c>
      <c r="C408" t="s">
        <v>233</v>
      </c>
      <c r="D408" t="s">
        <v>49</v>
      </c>
      <c r="E408" t="s">
        <v>142</v>
      </c>
      <c r="F408" t="s">
        <v>65</v>
      </c>
      <c r="G408" t="s">
        <v>234</v>
      </c>
      <c r="H408" t="s">
        <v>235</v>
      </c>
      <c r="I408" t="s">
        <v>234</v>
      </c>
      <c r="J408" t="s">
        <v>0</v>
      </c>
      <c r="K408" t="s">
        <v>2</v>
      </c>
      <c r="L408">
        <v>27456</v>
      </c>
      <c r="M408">
        <v>75</v>
      </c>
      <c r="N408">
        <v>14</v>
      </c>
      <c r="O408">
        <v>1669.72</v>
      </c>
      <c r="P408">
        <v>269.60000000000002</v>
      </c>
      <c r="Q408">
        <v>25</v>
      </c>
      <c r="R408">
        <v>7</v>
      </c>
      <c r="S408" t="s">
        <v>116</v>
      </c>
      <c r="T408">
        <v>9</v>
      </c>
      <c r="U408">
        <v>5</v>
      </c>
      <c r="V408">
        <v>3</v>
      </c>
      <c r="W408">
        <v>0</v>
      </c>
      <c r="X408">
        <v>0</v>
      </c>
      <c r="Y408" s="20">
        <f>SUM(Table1[[#This Row],[dty_type_cnt1]:[dty_type_cnt5]])</f>
        <v>17</v>
      </c>
    </row>
    <row r="409" spans="1:25" x14ac:dyDescent="0.25">
      <c r="A409" s="15">
        <v>46102</v>
      </c>
      <c r="B409" t="s">
        <v>430</v>
      </c>
      <c r="C409" t="s">
        <v>233</v>
      </c>
      <c r="D409" t="s">
        <v>46</v>
      </c>
      <c r="E409">
        <v>17</v>
      </c>
      <c r="F409" t="s">
        <v>144</v>
      </c>
      <c r="G409" t="s">
        <v>234</v>
      </c>
      <c r="H409" t="s">
        <v>235</v>
      </c>
      <c r="I409" t="s">
        <v>234</v>
      </c>
      <c r="J409" t="s">
        <v>63</v>
      </c>
      <c r="K409" t="s">
        <v>2</v>
      </c>
      <c r="L409">
        <v>27456</v>
      </c>
      <c r="M409">
        <v>8</v>
      </c>
      <c r="N409">
        <v>2</v>
      </c>
      <c r="O409">
        <v>196.50800000000001</v>
      </c>
      <c r="P409">
        <v>2.9</v>
      </c>
      <c r="Q409">
        <v>30</v>
      </c>
      <c r="R409">
        <v>1</v>
      </c>
      <c r="S409" t="s">
        <v>116</v>
      </c>
      <c r="T409">
        <v>1</v>
      </c>
      <c r="U409">
        <v>1</v>
      </c>
      <c r="V409">
        <v>0</v>
      </c>
      <c r="W409">
        <v>0</v>
      </c>
      <c r="X409">
        <v>0</v>
      </c>
      <c r="Y409" s="20">
        <f>SUM(Table1[[#This Row],[dty_type_cnt1]:[dty_type_cnt5]])</f>
        <v>2</v>
      </c>
    </row>
    <row r="410" spans="1:25" x14ac:dyDescent="0.25">
      <c r="A410" s="15">
        <v>46102</v>
      </c>
      <c r="B410" t="s">
        <v>430</v>
      </c>
      <c r="C410" t="s">
        <v>233</v>
      </c>
      <c r="D410" t="s">
        <v>46</v>
      </c>
      <c r="E410" t="s">
        <v>66</v>
      </c>
      <c r="F410" t="s">
        <v>67</v>
      </c>
      <c r="G410" t="s">
        <v>234</v>
      </c>
      <c r="H410" t="s">
        <v>235</v>
      </c>
      <c r="I410" t="s">
        <v>234</v>
      </c>
      <c r="J410" t="s">
        <v>0</v>
      </c>
      <c r="K410" t="s">
        <v>2</v>
      </c>
      <c r="L410">
        <v>27456</v>
      </c>
      <c r="M410">
        <v>5</v>
      </c>
      <c r="N410">
        <v>1</v>
      </c>
      <c r="O410">
        <v>230.75700000000001</v>
      </c>
      <c r="P410">
        <v>20.9</v>
      </c>
      <c r="Q410">
        <v>0</v>
      </c>
      <c r="R410">
        <v>1</v>
      </c>
      <c r="S410" t="s">
        <v>116</v>
      </c>
      <c r="T410">
        <v>1</v>
      </c>
      <c r="U410">
        <v>1</v>
      </c>
      <c r="V410">
        <v>0</v>
      </c>
      <c r="W410">
        <v>0</v>
      </c>
      <c r="X410">
        <v>0</v>
      </c>
      <c r="Y410" s="20">
        <f>SUM(Table1[[#This Row],[dty_type_cnt1]:[dty_type_cnt5]])</f>
        <v>2</v>
      </c>
    </row>
    <row r="411" spans="1:25" x14ac:dyDescent="0.25">
      <c r="A411" s="15">
        <v>46102</v>
      </c>
      <c r="B411" t="s">
        <v>430</v>
      </c>
      <c r="C411" t="s">
        <v>233</v>
      </c>
      <c r="D411" t="s">
        <v>46</v>
      </c>
      <c r="E411" t="s">
        <v>68</v>
      </c>
      <c r="F411" t="s">
        <v>69</v>
      </c>
      <c r="G411" t="s">
        <v>234</v>
      </c>
      <c r="H411" t="s">
        <v>235</v>
      </c>
      <c r="I411" t="s">
        <v>234</v>
      </c>
      <c r="J411" t="s">
        <v>0</v>
      </c>
      <c r="K411" t="s">
        <v>2</v>
      </c>
      <c r="L411">
        <v>27456</v>
      </c>
      <c r="M411">
        <v>5</v>
      </c>
      <c r="N411">
        <v>1</v>
      </c>
      <c r="O411">
        <v>229.61099999999999</v>
      </c>
      <c r="P411">
        <v>22.2</v>
      </c>
      <c r="Q411">
        <v>30</v>
      </c>
      <c r="R411">
        <v>0</v>
      </c>
      <c r="S411" t="s">
        <v>116</v>
      </c>
      <c r="T411">
        <v>0</v>
      </c>
      <c r="U411">
        <v>0</v>
      </c>
      <c r="V411">
        <v>0</v>
      </c>
      <c r="W411">
        <v>0</v>
      </c>
      <c r="X411">
        <v>0</v>
      </c>
      <c r="Y411" s="20">
        <f>SUM(Table1[[#This Row],[dty_type_cnt1]:[dty_type_cnt5]])</f>
        <v>0</v>
      </c>
    </row>
    <row r="412" spans="1:25" x14ac:dyDescent="0.25">
      <c r="A412" s="15">
        <v>46102</v>
      </c>
      <c r="B412" t="s">
        <v>430</v>
      </c>
      <c r="C412" t="s">
        <v>233</v>
      </c>
      <c r="D412" t="s">
        <v>46</v>
      </c>
      <c r="E412">
        <v>22</v>
      </c>
      <c r="F412" t="s">
        <v>70</v>
      </c>
      <c r="G412" t="s">
        <v>234</v>
      </c>
      <c r="H412" t="s">
        <v>235</v>
      </c>
      <c r="I412" t="s">
        <v>234</v>
      </c>
      <c r="J412" t="s">
        <v>0</v>
      </c>
      <c r="K412" t="s">
        <v>2</v>
      </c>
      <c r="L412">
        <v>27456</v>
      </c>
      <c r="M412">
        <v>54</v>
      </c>
      <c r="N412">
        <v>8</v>
      </c>
      <c r="O412">
        <v>738.53399999999999</v>
      </c>
      <c r="P412">
        <v>183.9</v>
      </c>
      <c r="Q412">
        <v>25</v>
      </c>
      <c r="R412">
        <v>4</v>
      </c>
      <c r="S412" t="s">
        <v>116</v>
      </c>
      <c r="T412">
        <v>3</v>
      </c>
      <c r="U412">
        <v>4</v>
      </c>
      <c r="V412">
        <v>0</v>
      </c>
      <c r="W412">
        <v>0</v>
      </c>
      <c r="X412">
        <v>0</v>
      </c>
      <c r="Y412" s="20">
        <f>SUM(Table1[[#This Row],[dty_type_cnt1]:[dty_type_cnt5]])</f>
        <v>7</v>
      </c>
    </row>
    <row r="413" spans="1:25" x14ac:dyDescent="0.25">
      <c r="A413" s="15">
        <v>46102</v>
      </c>
      <c r="B413" t="s">
        <v>430</v>
      </c>
      <c r="C413" t="s">
        <v>233</v>
      </c>
      <c r="D413" t="s">
        <v>46</v>
      </c>
      <c r="E413">
        <v>27</v>
      </c>
      <c r="F413" t="s">
        <v>270</v>
      </c>
      <c r="G413" t="s">
        <v>234</v>
      </c>
      <c r="H413" t="s">
        <v>235</v>
      </c>
      <c r="I413" t="s">
        <v>234</v>
      </c>
      <c r="J413" t="s">
        <v>0</v>
      </c>
      <c r="K413" t="s">
        <v>2</v>
      </c>
      <c r="L413">
        <v>27456</v>
      </c>
      <c r="M413">
        <v>48</v>
      </c>
      <c r="N413">
        <v>8</v>
      </c>
      <c r="O413">
        <v>959.76</v>
      </c>
      <c r="P413">
        <v>0.8</v>
      </c>
      <c r="Q413">
        <v>25</v>
      </c>
      <c r="R413">
        <v>4</v>
      </c>
      <c r="S413" t="s">
        <v>116</v>
      </c>
      <c r="T413">
        <v>4</v>
      </c>
      <c r="U413">
        <v>3</v>
      </c>
      <c r="V413">
        <v>1</v>
      </c>
      <c r="W413">
        <v>0</v>
      </c>
      <c r="X413">
        <v>0</v>
      </c>
      <c r="Y413" s="20">
        <f>SUM(Table1[[#This Row],[dty_type_cnt1]:[dty_type_cnt5]])</f>
        <v>8</v>
      </c>
    </row>
    <row r="414" spans="1:25" x14ac:dyDescent="0.25">
      <c r="A414" s="15">
        <v>46102</v>
      </c>
      <c r="B414" t="s">
        <v>430</v>
      </c>
      <c r="C414" t="s">
        <v>233</v>
      </c>
      <c r="D414" t="s">
        <v>46</v>
      </c>
      <c r="E414" t="s">
        <v>236</v>
      </c>
      <c r="F414" t="s">
        <v>237</v>
      </c>
      <c r="G414" t="s">
        <v>234</v>
      </c>
      <c r="H414" t="s">
        <v>235</v>
      </c>
      <c r="I414" t="s">
        <v>234</v>
      </c>
      <c r="J414" t="s">
        <v>0</v>
      </c>
      <c r="K414" t="s">
        <v>2</v>
      </c>
      <c r="L414">
        <v>27456</v>
      </c>
      <c r="M414">
        <v>18</v>
      </c>
      <c r="N414">
        <v>4</v>
      </c>
      <c r="O414">
        <v>552.44600000000003</v>
      </c>
      <c r="P414">
        <v>57.3</v>
      </c>
      <c r="Q414">
        <v>20</v>
      </c>
      <c r="R414">
        <v>2</v>
      </c>
      <c r="S414" t="s">
        <v>116</v>
      </c>
      <c r="T414">
        <v>1</v>
      </c>
      <c r="U414">
        <v>2</v>
      </c>
      <c r="V414">
        <v>0</v>
      </c>
      <c r="W414">
        <v>0</v>
      </c>
      <c r="X414">
        <v>0</v>
      </c>
      <c r="Y414" s="20">
        <f>SUM(Table1[[#This Row],[dty_type_cnt1]:[dty_type_cnt5]])</f>
        <v>3</v>
      </c>
    </row>
    <row r="415" spans="1:25" x14ac:dyDescent="0.25">
      <c r="A415" s="15">
        <v>46102</v>
      </c>
      <c r="B415" t="s">
        <v>430</v>
      </c>
      <c r="C415" t="s">
        <v>233</v>
      </c>
      <c r="D415" t="s">
        <v>46</v>
      </c>
      <c r="E415">
        <v>33</v>
      </c>
      <c r="F415" t="s">
        <v>238</v>
      </c>
      <c r="G415" t="s">
        <v>234</v>
      </c>
      <c r="H415" t="s">
        <v>235</v>
      </c>
      <c r="I415" t="s">
        <v>234</v>
      </c>
      <c r="J415" t="s">
        <v>0</v>
      </c>
      <c r="K415" t="s">
        <v>2</v>
      </c>
      <c r="L415">
        <v>27456</v>
      </c>
      <c r="M415">
        <v>40</v>
      </c>
      <c r="N415">
        <v>8</v>
      </c>
      <c r="O415">
        <v>1120.579</v>
      </c>
      <c r="P415">
        <v>110.9</v>
      </c>
      <c r="Q415">
        <v>30</v>
      </c>
      <c r="R415">
        <v>4</v>
      </c>
      <c r="S415" t="s">
        <v>116</v>
      </c>
      <c r="T415">
        <v>3</v>
      </c>
      <c r="U415">
        <v>4</v>
      </c>
      <c r="V415">
        <v>0</v>
      </c>
      <c r="W415">
        <v>0</v>
      </c>
      <c r="X415">
        <v>0</v>
      </c>
      <c r="Y415" s="20">
        <f>SUM(Table1[[#This Row],[dty_type_cnt1]:[dty_type_cnt5]])</f>
        <v>7</v>
      </c>
    </row>
    <row r="416" spans="1:25" x14ac:dyDescent="0.25">
      <c r="A416" s="15">
        <v>46102</v>
      </c>
      <c r="B416" t="s">
        <v>430</v>
      </c>
      <c r="C416" t="s">
        <v>233</v>
      </c>
      <c r="D416" t="s">
        <v>46</v>
      </c>
      <c r="E416">
        <v>34</v>
      </c>
      <c r="F416" t="s">
        <v>239</v>
      </c>
      <c r="G416" t="s">
        <v>234</v>
      </c>
      <c r="H416" t="s">
        <v>235</v>
      </c>
      <c r="I416" t="s">
        <v>234</v>
      </c>
      <c r="J416" t="s">
        <v>0</v>
      </c>
      <c r="K416" t="s">
        <v>2</v>
      </c>
      <c r="L416">
        <v>27456</v>
      </c>
      <c r="M416">
        <v>46</v>
      </c>
      <c r="N416">
        <v>10</v>
      </c>
      <c r="O416">
        <v>1078.3320000000001</v>
      </c>
      <c r="P416">
        <v>97.7</v>
      </c>
      <c r="Q416">
        <v>30</v>
      </c>
      <c r="R416">
        <v>5</v>
      </c>
      <c r="S416" t="s">
        <v>116</v>
      </c>
      <c r="T416">
        <v>3</v>
      </c>
      <c r="U416">
        <v>4</v>
      </c>
      <c r="V416">
        <v>0</v>
      </c>
      <c r="W416">
        <v>0</v>
      </c>
      <c r="X416">
        <v>0</v>
      </c>
      <c r="Y416" s="20">
        <f>SUM(Table1[[#This Row],[dty_type_cnt1]:[dty_type_cnt5]])</f>
        <v>7</v>
      </c>
    </row>
    <row r="417" spans="1:25" x14ac:dyDescent="0.25">
      <c r="A417" s="15">
        <v>46102</v>
      </c>
      <c r="B417" t="s">
        <v>430</v>
      </c>
      <c r="C417" t="s">
        <v>233</v>
      </c>
      <c r="D417" t="s">
        <v>46</v>
      </c>
      <c r="E417">
        <v>43</v>
      </c>
      <c r="F417" t="s">
        <v>143</v>
      </c>
      <c r="G417" t="s">
        <v>234</v>
      </c>
      <c r="H417" t="s">
        <v>235</v>
      </c>
      <c r="I417" t="s">
        <v>234</v>
      </c>
      <c r="J417" t="s">
        <v>0</v>
      </c>
      <c r="K417" t="s">
        <v>2</v>
      </c>
      <c r="L417">
        <v>27456</v>
      </c>
      <c r="M417">
        <v>78</v>
      </c>
      <c r="N417">
        <v>16</v>
      </c>
      <c r="O417">
        <v>1289.22</v>
      </c>
      <c r="P417">
        <v>284.8</v>
      </c>
      <c r="Q417">
        <v>25</v>
      </c>
      <c r="R417">
        <v>8</v>
      </c>
      <c r="S417" t="s">
        <v>116</v>
      </c>
      <c r="T417">
        <v>7</v>
      </c>
      <c r="U417">
        <v>8</v>
      </c>
      <c r="V417">
        <v>0</v>
      </c>
      <c r="W417">
        <v>0</v>
      </c>
      <c r="X417">
        <v>0</v>
      </c>
      <c r="Y417" s="20">
        <f>SUM(Table1[[#This Row],[dty_type_cnt1]:[dty_type_cnt5]])</f>
        <v>15</v>
      </c>
    </row>
    <row r="418" spans="1:25" x14ac:dyDescent="0.25">
      <c r="A418" s="15">
        <v>46102</v>
      </c>
      <c r="B418" t="s">
        <v>430</v>
      </c>
      <c r="C418" t="s">
        <v>233</v>
      </c>
      <c r="D418" t="s">
        <v>46</v>
      </c>
      <c r="E418">
        <v>53</v>
      </c>
      <c r="F418" t="s">
        <v>74</v>
      </c>
      <c r="G418" t="s">
        <v>234</v>
      </c>
      <c r="H418" t="s">
        <v>235</v>
      </c>
      <c r="I418" t="s">
        <v>234</v>
      </c>
      <c r="J418" t="s">
        <v>0</v>
      </c>
      <c r="K418" t="s">
        <v>2</v>
      </c>
      <c r="L418">
        <v>27456</v>
      </c>
      <c r="M418">
        <v>40</v>
      </c>
      <c r="N418">
        <v>8</v>
      </c>
      <c r="O418">
        <v>1322.14</v>
      </c>
      <c r="P418">
        <v>0.8</v>
      </c>
      <c r="Q418">
        <v>20</v>
      </c>
      <c r="R418">
        <v>4</v>
      </c>
      <c r="S418" t="s">
        <v>116</v>
      </c>
      <c r="T418">
        <v>4</v>
      </c>
      <c r="U418">
        <v>4</v>
      </c>
      <c r="V418">
        <v>0</v>
      </c>
      <c r="W418">
        <v>0</v>
      </c>
      <c r="X418">
        <v>0</v>
      </c>
      <c r="Y418" s="20">
        <f>SUM(Table1[[#This Row],[dty_type_cnt1]:[dty_type_cnt5]])</f>
        <v>8</v>
      </c>
    </row>
    <row r="419" spans="1:25" x14ac:dyDescent="0.25">
      <c r="A419" s="15">
        <v>46102</v>
      </c>
      <c r="B419" t="s">
        <v>430</v>
      </c>
      <c r="C419" t="s">
        <v>233</v>
      </c>
      <c r="D419" t="s">
        <v>46</v>
      </c>
      <c r="E419">
        <v>64</v>
      </c>
      <c r="F419" t="s">
        <v>75</v>
      </c>
      <c r="G419" t="s">
        <v>234</v>
      </c>
      <c r="H419" t="s">
        <v>235</v>
      </c>
      <c r="I419" t="s">
        <v>234</v>
      </c>
      <c r="J419" t="s">
        <v>76</v>
      </c>
      <c r="K419" t="s">
        <v>2</v>
      </c>
      <c r="L419">
        <v>27456</v>
      </c>
      <c r="M419">
        <v>8</v>
      </c>
      <c r="N419">
        <v>2</v>
      </c>
      <c r="O419">
        <v>264.596</v>
      </c>
      <c r="P419">
        <v>0.2</v>
      </c>
      <c r="Q419">
        <v>60</v>
      </c>
      <c r="R419">
        <v>1</v>
      </c>
      <c r="S419" t="s">
        <v>116</v>
      </c>
      <c r="T419">
        <v>1</v>
      </c>
      <c r="U419">
        <v>1</v>
      </c>
      <c r="V419">
        <v>0</v>
      </c>
      <c r="W419">
        <v>0</v>
      </c>
      <c r="X419">
        <v>0</v>
      </c>
      <c r="Y419" s="20">
        <f>SUM(Table1[[#This Row],[dty_type_cnt1]:[dty_type_cnt5]])</f>
        <v>2</v>
      </c>
    </row>
    <row r="420" spans="1:25" x14ac:dyDescent="0.25">
      <c r="A420" s="15">
        <v>46102</v>
      </c>
      <c r="B420" t="s">
        <v>430</v>
      </c>
      <c r="C420" t="s">
        <v>233</v>
      </c>
      <c r="D420" t="s">
        <v>46</v>
      </c>
      <c r="E420">
        <v>88</v>
      </c>
      <c r="F420" t="s">
        <v>119</v>
      </c>
      <c r="G420" t="s">
        <v>234</v>
      </c>
      <c r="H420" t="s">
        <v>235</v>
      </c>
      <c r="I420" t="s">
        <v>234</v>
      </c>
      <c r="J420" t="s">
        <v>0</v>
      </c>
      <c r="K420" t="s">
        <v>2</v>
      </c>
      <c r="L420">
        <v>27456</v>
      </c>
      <c r="M420">
        <v>6</v>
      </c>
      <c r="N420">
        <v>2</v>
      </c>
      <c r="O420">
        <v>185.14500000000001</v>
      </c>
      <c r="P420">
        <v>6.5</v>
      </c>
      <c r="Q420">
        <v>260</v>
      </c>
      <c r="R420">
        <v>1</v>
      </c>
      <c r="S420" t="s">
        <v>116</v>
      </c>
      <c r="T420">
        <v>1</v>
      </c>
      <c r="U420">
        <v>1</v>
      </c>
      <c r="V420">
        <v>0</v>
      </c>
      <c r="W420">
        <v>0</v>
      </c>
      <c r="X420">
        <v>0</v>
      </c>
      <c r="Y420" s="20">
        <f>SUM(Table1[[#This Row],[dty_type_cnt1]:[dty_type_cnt5]])</f>
        <v>2</v>
      </c>
    </row>
    <row r="421" spans="1:25" x14ac:dyDescent="0.25">
      <c r="A421" s="15">
        <v>46102</v>
      </c>
      <c r="B421" t="s">
        <v>430</v>
      </c>
      <c r="C421" t="s">
        <v>233</v>
      </c>
      <c r="D421" t="s">
        <v>46</v>
      </c>
      <c r="E421" t="s">
        <v>56</v>
      </c>
      <c r="F421" t="s">
        <v>57</v>
      </c>
      <c r="G421" t="s">
        <v>234</v>
      </c>
      <c r="H421" t="s">
        <v>235</v>
      </c>
      <c r="I421" t="s">
        <v>234</v>
      </c>
      <c r="J421" t="s">
        <v>0</v>
      </c>
      <c r="K421" t="s">
        <v>2</v>
      </c>
      <c r="L421">
        <v>27456</v>
      </c>
      <c r="M421">
        <v>30</v>
      </c>
      <c r="N421">
        <v>6</v>
      </c>
      <c r="O421">
        <v>520.37900000000002</v>
      </c>
      <c r="P421">
        <v>1.2</v>
      </c>
      <c r="Q421">
        <v>60</v>
      </c>
      <c r="R421">
        <v>3</v>
      </c>
      <c r="S421" t="s">
        <v>116</v>
      </c>
      <c r="T421">
        <v>3</v>
      </c>
      <c r="U421">
        <v>3</v>
      </c>
      <c r="V421">
        <v>0</v>
      </c>
      <c r="W421">
        <v>0</v>
      </c>
      <c r="X421">
        <v>0</v>
      </c>
      <c r="Y421" s="20">
        <f>SUM(Table1[[#This Row],[dty_type_cnt1]:[dty_type_cnt5]])</f>
        <v>6</v>
      </c>
    </row>
    <row r="422" spans="1:25" x14ac:dyDescent="0.25">
      <c r="A422" s="15">
        <v>46102</v>
      </c>
      <c r="B422" t="s">
        <v>430</v>
      </c>
      <c r="C422" t="s">
        <v>233</v>
      </c>
      <c r="D422" t="s">
        <v>46</v>
      </c>
      <c r="E422" t="s">
        <v>382</v>
      </c>
      <c r="F422" t="s">
        <v>383</v>
      </c>
      <c r="G422" t="s">
        <v>234</v>
      </c>
      <c r="H422" t="s">
        <v>235</v>
      </c>
      <c r="I422" t="s">
        <v>234</v>
      </c>
      <c r="J422" t="s">
        <v>0</v>
      </c>
      <c r="K422" t="s">
        <v>2</v>
      </c>
      <c r="L422">
        <v>27456</v>
      </c>
      <c r="M422">
        <v>26</v>
      </c>
      <c r="N422">
        <v>4</v>
      </c>
      <c r="O422">
        <v>568.72299999999996</v>
      </c>
      <c r="P422">
        <v>0.4</v>
      </c>
      <c r="Q422">
        <v>30</v>
      </c>
      <c r="R422">
        <v>2</v>
      </c>
      <c r="S422" t="s">
        <v>116</v>
      </c>
      <c r="T422">
        <v>2</v>
      </c>
      <c r="U422">
        <v>2</v>
      </c>
      <c r="V422">
        <v>0</v>
      </c>
      <c r="W422">
        <v>0</v>
      </c>
      <c r="X422">
        <v>0</v>
      </c>
      <c r="Y422" s="20">
        <f>SUM(Table1[[#This Row],[dty_type_cnt1]:[dty_type_cnt5]])</f>
        <v>4</v>
      </c>
    </row>
    <row r="423" spans="1:25" x14ac:dyDescent="0.25">
      <c r="A423" s="15">
        <v>46102</v>
      </c>
      <c r="B423" t="s">
        <v>430</v>
      </c>
      <c r="C423" t="s">
        <v>233</v>
      </c>
      <c r="D423" t="s">
        <v>46</v>
      </c>
      <c r="E423" t="s">
        <v>77</v>
      </c>
      <c r="F423" t="s">
        <v>78</v>
      </c>
      <c r="G423" t="s">
        <v>234</v>
      </c>
      <c r="H423" t="s">
        <v>235</v>
      </c>
      <c r="I423" t="s">
        <v>234</v>
      </c>
      <c r="J423" t="s">
        <v>0</v>
      </c>
      <c r="K423" t="s">
        <v>2</v>
      </c>
      <c r="L423">
        <v>27456</v>
      </c>
      <c r="M423">
        <v>12</v>
      </c>
      <c r="N423">
        <v>2</v>
      </c>
      <c r="O423">
        <v>188.16499999999999</v>
      </c>
      <c r="P423">
        <v>0.2</v>
      </c>
      <c r="Q423">
        <v>30</v>
      </c>
      <c r="R423">
        <v>1</v>
      </c>
      <c r="S423" t="s">
        <v>116</v>
      </c>
      <c r="T423">
        <v>1</v>
      </c>
      <c r="U423">
        <v>1</v>
      </c>
      <c r="V423">
        <v>0</v>
      </c>
      <c r="W423">
        <v>0</v>
      </c>
      <c r="X423">
        <v>0</v>
      </c>
      <c r="Y423" s="20">
        <f>SUM(Table1[[#This Row],[dty_type_cnt1]:[dty_type_cnt5]])</f>
        <v>2</v>
      </c>
    </row>
    <row r="424" spans="1:25" x14ac:dyDescent="0.25">
      <c r="A424" s="15">
        <v>46102</v>
      </c>
      <c r="B424" t="s">
        <v>430</v>
      </c>
      <c r="C424" t="s">
        <v>233</v>
      </c>
      <c r="D424" t="s">
        <v>46</v>
      </c>
      <c r="E424" t="s">
        <v>50</v>
      </c>
      <c r="F424" t="s">
        <v>51</v>
      </c>
      <c r="G424" t="s">
        <v>234</v>
      </c>
      <c r="H424" t="s">
        <v>235</v>
      </c>
      <c r="I424" t="s">
        <v>234</v>
      </c>
      <c r="J424" t="s">
        <v>0</v>
      </c>
      <c r="K424" t="s">
        <v>2</v>
      </c>
      <c r="L424">
        <v>27456</v>
      </c>
      <c r="M424">
        <v>20</v>
      </c>
      <c r="N424">
        <v>4</v>
      </c>
      <c r="O424">
        <v>451.03</v>
      </c>
      <c r="P424">
        <v>8.4</v>
      </c>
      <c r="Q424">
        <v>30</v>
      </c>
      <c r="R424">
        <v>2</v>
      </c>
      <c r="S424" t="s">
        <v>116</v>
      </c>
      <c r="T424">
        <v>2</v>
      </c>
      <c r="U424">
        <v>2</v>
      </c>
      <c r="V424">
        <v>0</v>
      </c>
      <c r="W424">
        <v>0</v>
      </c>
      <c r="X424">
        <v>0</v>
      </c>
      <c r="Y424" s="20">
        <f>SUM(Table1[[#This Row],[dty_type_cnt1]:[dty_type_cnt5]])</f>
        <v>4</v>
      </c>
    </row>
    <row r="425" spans="1:25" x14ac:dyDescent="0.25">
      <c r="A425" s="15">
        <v>46102</v>
      </c>
      <c r="B425" t="s">
        <v>430</v>
      </c>
      <c r="C425" t="s">
        <v>233</v>
      </c>
      <c r="D425" t="s">
        <v>46</v>
      </c>
      <c r="E425" t="s">
        <v>124</v>
      </c>
      <c r="F425" t="s">
        <v>125</v>
      </c>
      <c r="G425" t="s">
        <v>234</v>
      </c>
      <c r="H425" t="s">
        <v>235</v>
      </c>
      <c r="I425" t="s">
        <v>234</v>
      </c>
      <c r="J425" t="s">
        <v>0</v>
      </c>
      <c r="K425" t="s">
        <v>2</v>
      </c>
      <c r="L425">
        <v>27456</v>
      </c>
      <c r="M425">
        <v>30</v>
      </c>
      <c r="N425">
        <v>6</v>
      </c>
      <c r="O425">
        <v>614.89</v>
      </c>
      <c r="P425">
        <v>129.30000000000001</v>
      </c>
      <c r="Q425">
        <v>35</v>
      </c>
      <c r="R425">
        <v>3</v>
      </c>
      <c r="S425" t="s">
        <v>116</v>
      </c>
      <c r="T425">
        <v>3</v>
      </c>
      <c r="U425">
        <v>3</v>
      </c>
      <c r="V425">
        <v>0</v>
      </c>
      <c r="W425">
        <v>0</v>
      </c>
      <c r="X425">
        <v>0</v>
      </c>
      <c r="Y425" s="20">
        <f>SUM(Table1[[#This Row],[dty_type_cnt1]:[dty_type_cnt5]])</f>
        <v>6</v>
      </c>
    </row>
    <row r="426" spans="1:25" x14ac:dyDescent="0.25">
      <c r="A426" s="15">
        <v>46102</v>
      </c>
      <c r="B426" t="s">
        <v>430</v>
      </c>
      <c r="C426" t="s">
        <v>233</v>
      </c>
      <c r="D426" t="s">
        <v>46</v>
      </c>
      <c r="E426" t="s">
        <v>240</v>
      </c>
      <c r="F426" t="s">
        <v>241</v>
      </c>
      <c r="G426" t="s">
        <v>234</v>
      </c>
      <c r="H426" t="s">
        <v>235</v>
      </c>
      <c r="I426" t="s">
        <v>234</v>
      </c>
      <c r="J426" t="s">
        <v>0</v>
      </c>
      <c r="K426" t="s">
        <v>2</v>
      </c>
      <c r="L426">
        <v>27456</v>
      </c>
      <c r="M426">
        <v>50</v>
      </c>
      <c r="N426">
        <v>12</v>
      </c>
      <c r="O426">
        <v>1192.4000000000001</v>
      </c>
      <c r="P426">
        <v>248</v>
      </c>
      <c r="Q426">
        <v>20</v>
      </c>
      <c r="R426">
        <v>6</v>
      </c>
      <c r="S426" t="s">
        <v>116</v>
      </c>
      <c r="T426">
        <v>5</v>
      </c>
      <c r="U426">
        <v>5</v>
      </c>
      <c r="V426">
        <v>1</v>
      </c>
      <c r="W426">
        <v>0</v>
      </c>
      <c r="X426">
        <v>0</v>
      </c>
      <c r="Y426" s="20">
        <f>SUM(Table1[[#This Row],[dty_type_cnt1]:[dty_type_cnt5]])</f>
        <v>11</v>
      </c>
    </row>
    <row r="427" spans="1:25" x14ac:dyDescent="0.25">
      <c r="A427" s="15">
        <v>46102</v>
      </c>
      <c r="B427" t="s">
        <v>430</v>
      </c>
      <c r="C427" t="s">
        <v>233</v>
      </c>
      <c r="D427" t="s">
        <v>46</v>
      </c>
      <c r="E427" t="s">
        <v>242</v>
      </c>
      <c r="F427" t="s">
        <v>243</v>
      </c>
      <c r="G427" t="s">
        <v>234</v>
      </c>
      <c r="H427" t="s">
        <v>235</v>
      </c>
      <c r="I427" t="s">
        <v>234</v>
      </c>
      <c r="J427" t="s">
        <v>0</v>
      </c>
      <c r="K427" t="s">
        <v>2</v>
      </c>
      <c r="L427">
        <v>27456</v>
      </c>
      <c r="M427">
        <v>64</v>
      </c>
      <c r="N427">
        <v>12</v>
      </c>
      <c r="O427">
        <v>1231.0719999999999</v>
      </c>
      <c r="P427">
        <v>346.2</v>
      </c>
      <c r="Q427">
        <v>30</v>
      </c>
      <c r="R427">
        <v>6</v>
      </c>
      <c r="S427" t="s">
        <v>116</v>
      </c>
      <c r="T427">
        <v>5</v>
      </c>
      <c r="U427">
        <v>6</v>
      </c>
      <c r="V427">
        <v>0</v>
      </c>
      <c r="W427">
        <v>0</v>
      </c>
      <c r="X427">
        <v>0</v>
      </c>
      <c r="Y427" s="20">
        <f>SUM(Table1[[#This Row],[dty_type_cnt1]:[dty_type_cnt5]])</f>
        <v>11</v>
      </c>
    </row>
    <row r="428" spans="1:25" x14ac:dyDescent="0.25">
      <c r="A428" s="15">
        <v>46102</v>
      </c>
      <c r="B428" t="s">
        <v>430</v>
      </c>
      <c r="C428" t="s">
        <v>233</v>
      </c>
      <c r="D428" t="s">
        <v>176</v>
      </c>
      <c r="E428" t="s">
        <v>339</v>
      </c>
      <c r="F428" t="s">
        <v>340</v>
      </c>
      <c r="G428" t="s">
        <v>234</v>
      </c>
      <c r="H428" t="s">
        <v>235</v>
      </c>
      <c r="I428" t="s">
        <v>234</v>
      </c>
      <c r="J428" t="s">
        <v>76</v>
      </c>
      <c r="K428" t="s">
        <v>2</v>
      </c>
      <c r="L428">
        <v>27456</v>
      </c>
      <c r="M428">
        <v>12</v>
      </c>
      <c r="N428">
        <v>2</v>
      </c>
      <c r="O428">
        <v>199.32400000000001</v>
      </c>
      <c r="P428">
        <v>10</v>
      </c>
      <c r="Q428">
        <v>12</v>
      </c>
      <c r="R428">
        <v>1</v>
      </c>
      <c r="S428" t="s">
        <v>116</v>
      </c>
      <c r="T428">
        <v>1</v>
      </c>
      <c r="U428">
        <v>1</v>
      </c>
      <c r="V428">
        <v>0</v>
      </c>
      <c r="W428">
        <v>0</v>
      </c>
      <c r="X428">
        <v>0</v>
      </c>
      <c r="Y428" s="20">
        <f>SUM(Table1[[#This Row],[dty_type_cnt1]:[dty_type_cnt5]])</f>
        <v>2</v>
      </c>
    </row>
    <row r="429" spans="1:25" x14ac:dyDescent="0.25">
      <c r="A429" s="15">
        <v>46102</v>
      </c>
      <c r="B429" t="s">
        <v>430</v>
      </c>
      <c r="C429" t="s">
        <v>233</v>
      </c>
      <c r="D429" t="s">
        <v>176</v>
      </c>
      <c r="E429" t="s">
        <v>345</v>
      </c>
      <c r="F429" t="s">
        <v>346</v>
      </c>
      <c r="G429" t="s">
        <v>234</v>
      </c>
      <c r="H429" t="s">
        <v>235</v>
      </c>
      <c r="I429" t="s">
        <v>234</v>
      </c>
      <c r="J429" t="s">
        <v>76</v>
      </c>
      <c r="K429" t="s">
        <v>2</v>
      </c>
      <c r="L429">
        <v>27456</v>
      </c>
      <c r="M429">
        <v>13</v>
      </c>
      <c r="N429">
        <v>2</v>
      </c>
      <c r="O429">
        <v>194.01</v>
      </c>
      <c r="P429">
        <v>13.2</v>
      </c>
      <c r="Q429">
        <v>30</v>
      </c>
      <c r="R429">
        <v>1</v>
      </c>
      <c r="S429" t="s">
        <v>116</v>
      </c>
      <c r="T429">
        <v>1</v>
      </c>
      <c r="U429">
        <v>1</v>
      </c>
      <c r="V429">
        <v>0</v>
      </c>
      <c r="W429">
        <v>0</v>
      </c>
      <c r="X429">
        <v>0</v>
      </c>
      <c r="Y429" s="20">
        <f>SUM(Table1[[#This Row],[dty_type_cnt1]:[dty_type_cnt5]])</f>
        <v>2</v>
      </c>
    </row>
    <row r="430" spans="1:25" x14ac:dyDescent="0.25">
      <c r="A430" s="15">
        <v>46102</v>
      </c>
      <c r="B430" t="s">
        <v>430</v>
      </c>
      <c r="C430" t="s">
        <v>233</v>
      </c>
      <c r="D430" t="s">
        <v>176</v>
      </c>
      <c r="E430" t="s">
        <v>347</v>
      </c>
      <c r="F430" t="s">
        <v>348</v>
      </c>
      <c r="G430" t="s">
        <v>234</v>
      </c>
      <c r="H430" t="s">
        <v>235</v>
      </c>
      <c r="I430" t="s">
        <v>234</v>
      </c>
      <c r="J430" t="s">
        <v>76</v>
      </c>
      <c r="K430" t="s">
        <v>2</v>
      </c>
      <c r="L430">
        <v>27456</v>
      </c>
      <c r="M430">
        <v>23</v>
      </c>
      <c r="N430">
        <v>2</v>
      </c>
      <c r="O430">
        <v>250.83500000000001</v>
      </c>
      <c r="P430">
        <v>15.4</v>
      </c>
      <c r="Q430">
        <v>30</v>
      </c>
      <c r="R430">
        <v>1</v>
      </c>
      <c r="S430" t="s">
        <v>116</v>
      </c>
      <c r="T430">
        <v>2</v>
      </c>
      <c r="U430">
        <v>0</v>
      </c>
      <c r="V430">
        <v>1</v>
      </c>
      <c r="W430">
        <v>0</v>
      </c>
      <c r="X430">
        <v>0</v>
      </c>
      <c r="Y430" s="20">
        <f>SUM(Table1[[#This Row],[dty_type_cnt1]:[dty_type_cnt5]])</f>
        <v>3</v>
      </c>
    </row>
    <row r="431" spans="1:25" x14ac:dyDescent="0.25">
      <c r="A431" s="15">
        <v>46103</v>
      </c>
      <c r="B431" t="s">
        <v>430</v>
      </c>
      <c r="C431" t="s">
        <v>233</v>
      </c>
      <c r="D431" t="s">
        <v>176</v>
      </c>
      <c r="E431" t="s">
        <v>351</v>
      </c>
      <c r="F431" t="s">
        <v>352</v>
      </c>
      <c r="G431" t="s">
        <v>234</v>
      </c>
      <c r="H431" t="s">
        <v>235</v>
      </c>
      <c r="I431" t="s">
        <v>234</v>
      </c>
      <c r="J431" t="s">
        <v>76</v>
      </c>
      <c r="K431" t="s">
        <v>2</v>
      </c>
      <c r="L431">
        <v>27456</v>
      </c>
      <c r="M431">
        <v>24</v>
      </c>
      <c r="N431">
        <v>4</v>
      </c>
      <c r="O431">
        <v>795.08399999999995</v>
      </c>
      <c r="P431">
        <v>0.8</v>
      </c>
      <c r="Q431">
        <v>60</v>
      </c>
      <c r="R431">
        <v>2</v>
      </c>
      <c r="S431" t="s">
        <v>116</v>
      </c>
      <c r="T431">
        <v>3</v>
      </c>
      <c r="U431">
        <v>1</v>
      </c>
      <c r="V431">
        <v>2</v>
      </c>
      <c r="W431">
        <v>0</v>
      </c>
      <c r="X431">
        <v>0</v>
      </c>
      <c r="Y431" s="20">
        <f>SUM(Table1[[#This Row],[dty_type_cnt1]:[dty_type_cnt5]])</f>
        <v>6</v>
      </c>
    </row>
    <row r="432" spans="1:25" x14ac:dyDescent="0.25">
      <c r="A432" s="15">
        <v>46103</v>
      </c>
      <c r="B432" t="s">
        <v>430</v>
      </c>
      <c r="C432" t="s">
        <v>233</v>
      </c>
      <c r="D432" t="s">
        <v>54</v>
      </c>
      <c r="E432" t="s">
        <v>79</v>
      </c>
      <c r="F432" t="s">
        <v>113</v>
      </c>
      <c r="G432" t="s">
        <v>234</v>
      </c>
      <c r="H432" t="s">
        <v>235</v>
      </c>
      <c r="I432" t="s">
        <v>234</v>
      </c>
      <c r="J432" t="s">
        <v>0</v>
      </c>
      <c r="K432" t="s">
        <v>2</v>
      </c>
      <c r="L432">
        <v>27456</v>
      </c>
      <c r="M432">
        <v>34</v>
      </c>
      <c r="N432">
        <v>4</v>
      </c>
      <c r="O432">
        <v>317.42700000000002</v>
      </c>
      <c r="P432">
        <v>0.8</v>
      </c>
      <c r="Q432">
        <v>25</v>
      </c>
      <c r="R432">
        <v>2</v>
      </c>
      <c r="S432" t="s">
        <v>116</v>
      </c>
      <c r="T432">
        <v>3</v>
      </c>
      <c r="U432">
        <v>1</v>
      </c>
      <c r="V432">
        <v>1</v>
      </c>
      <c r="W432">
        <v>0</v>
      </c>
      <c r="X432">
        <v>0</v>
      </c>
      <c r="Y432" s="20">
        <f>SUM(Table1[[#This Row],[dty_type_cnt1]:[dty_type_cnt5]])</f>
        <v>5</v>
      </c>
    </row>
    <row r="433" spans="1:25" x14ac:dyDescent="0.25">
      <c r="A433" s="15">
        <v>46103</v>
      </c>
      <c r="B433" t="s">
        <v>430</v>
      </c>
      <c r="C433" t="s">
        <v>233</v>
      </c>
      <c r="D433" t="s">
        <v>54</v>
      </c>
      <c r="E433" t="s">
        <v>244</v>
      </c>
      <c r="F433" t="s">
        <v>245</v>
      </c>
      <c r="G433" t="s">
        <v>234</v>
      </c>
      <c r="H433" t="s">
        <v>235</v>
      </c>
      <c r="I433" t="s">
        <v>234</v>
      </c>
      <c r="J433" t="s">
        <v>0</v>
      </c>
      <c r="K433" t="s">
        <v>2</v>
      </c>
      <c r="L433">
        <v>27456</v>
      </c>
      <c r="M433">
        <v>81</v>
      </c>
      <c r="N433">
        <v>14</v>
      </c>
      <c r="O433">
        <v>1639.1469999999999</v>
      </c>
      <c r="P433">
        <v>299.39999999999998</v>
      </c>
      <c r="Q433">
        <v>25</v>
      </c>
      <c r="R433">
        <v>6</v>
      </c>
      <c r="S433" t="s">
        <v>116</v>
      </c>
      <c r="T433">
        <v>8</v>
      </c>
      <c r="U433">
        <v>4</v>
      </c>
      <c r="V433">
        <v>3</v>
      </c>
      <c r="W433">
        <v>0</v>
      </c>
      <c r="X433">
        <v>0</v>
      </c>
      <c r="Y433" s="20">
        <f>SUM(Table1[[#This Row],[dty_type_cnt1]:[dty_type_cnt5]])</f>
        <v>15</v>
      </c>
    </row>
    <row r="434" spans="1:25" x14ac:dyDescent="0.25">
      <c r="A434" s="15">
        <v>46103</v>
      </c>
      <c r="B434" t="s">
        <v>430</v>
      </c>
      <c r="C434" t="s">
        <v>233</v>
      </c>
      <c r="D434" t="s">
        <v>54</v>
      </c>
      <c r="E434" t="s">
        <v>246</v>
      </c>
      <c r="F434" t="s">
        <v>247</v>
      </c>
      <c r="G434" t="s">
        <v>234</v>
      </c>
      <c r="H434" t="s">
        <v>235</v>
      </c>
      <c r="I434" t="s">
        <v>234</v>
      </c>
      <c r="J434" t="s">
        <v>0</v>
      </c>
      <c r="K434" t="s">
        <v>2</v>
      </c>
      <c r="L434">
        <v>27456</v>
      </c>
      <c r="M434">
        <v>80</v>
      </c>
      <c r="N434">
        <v>8</v>
      </c>
      <c r="O434">
        <v>702.79200000000003</v>
      </c>
      <c r="P434">
        <v>172</v>
      </c>
      <c r="Q434">
        <v>12</v>
      </c>
      <c r="R434">
        <v>4</v>
      </c>
      <c r="S434" t="s">
        <v>116</v>
      </c>
      <c r="T434">
        <v>4</v>
      </c>
      <c r="U434">
        <v>3</v>
      </c>
      <c r="V434">
        <v>1</v>
      </c>
      <c r="W434">
        <v>0</v>
      </c>
      <c r="X434">
        <v>0</v>
      </c>
      <c r="Y434" s="20">
        <f>SUM(Table1[[#This Row],[dty_type_cnt1]:[dty_type_cnt5]])</f>
        <v>8</v>
      </c>
    </row>
    <row r="435" spans="1:25" x14ac:dyDescent="0.25">
      <c r="A435" s="15">
        <v>46103</v>
      </c>
      <c r="B435" t="s">
        <v>430</v>
      </c>
      <c r="C435" t="s">
        <v>233</v>
      </c>
      <c r="D435" t="s">
        <v>54</v>
      </c>
      <c r="E435" t="s">
        <v>132</v>
      </c>
      <c r="F435" t="s">
        <v>133</v>
      </c>
      <c r="G435" t="s">
        <v>234</v>
      </c>
      <c r="H435" t="s">
        <v>235</v>
      </c>
      <c r="I435" t="s">
        <v>234</v>
      </c>
      <c r="J435" t="s">
        <v>0</v>
      </c>
      <c r="K435" t="s">
        <v>2</v>
      </c>
      <c r="L435">
        <v>27456</v>
      </c>
      <c r="M435">
        <v>38</v>
      </c>
      <c r="N435">
        <v>4</v>
      </c>
      <c r="O435">
        <v>253.11799999999999</v>
      </c>
      <c r="P435">
        <v>0.8</v>
      </c>
      <c r="Q435">
        <v>20</v>
      </c>
      <c r="R435">
        <v>2</v>
      </c>
      <c r="S435" t="s">
        <v>116</v>
      </c>
      <c r="T435">
        <v>2</v>
      </c>
      <c r="U435">
        <v>2</v>
      </c>
      <c r="V435">
        <v>0</v>
      </c>
      <c r="W435">
        <v>0</v>
      </c>
      <c r="X435">
        <v>0</v>
      </c>
      <c r="Y435" s="20">
        <f>SUM(Table1[[#This Row],[dty_type_cnt1]:[dty_type_cnt5]])</f>
        <v>4</v>
      </c>
    </row>
    <row r="436" spans="1:25" x14ac:dyDescent="0.25">
      <c r="A436" s="15">
        <v>46103</v>
      </c>
      <c r="B436" t="s">
        <v>430</v>
      </c>
      <c r="C436" t="s">
        <v>233</v>
      </c>
      <c r="D436" t="s">
        <v>54</v>
      </c>
      <c r="E436" t="s">
        <v>248</v>
      </c>
      <c r="F436" t="s">
        <v>249</v>
      </c>
      <c r="G436" t="s">
        <v>234</v>
      </c>
      <c r="H436" t="s">
        <v>235</v>
      </c>
      <c r="I436" t="s">
        <v>234</v>
      </c>
      <c r="J436" t="s">
        <v>0</v>
      </c>
      <c r="K436" t="s">
        <v>2</v>
      </c>
      <c r="L436">
        <v>27456</v>
      </c>
      <c r="M436">
        <v>52</v>
      </c>
      <c r="N436">
        <v>10</v>
      </c>
      <c r="O436">
        <v>728.62400000000002</v>
      </c>
      <c r="P436">
        <v>177.5</v>
      </c>
      <c r="Q436">
        <v>20</v>
      </c>
      <c r="R436">
        <v>5</v>
      </c>
      <c r="S436" t="s">
        <v>116</v>
      </c>
      <c r="T436">
        <v>5</v>
      </c>
      <c r="U436">
        <v>3</v>
      </c>
      <c r="V436">
        <v>2</v>
      </c>
      <c r="W436">
        <v>0</v>
      </c>
      <c r="X436">
        <v>0</v>
      </c>
      <c r="Y436" s="20">
        <f>SUM(Table1[[#This Row],[dty_type_cnt1]:[dty_type_cnt5]])</f>
        <v>10</v>
      </c>
    </row>
    <row r="437" spans="1:25" x14ac:dyDescent="0.25">
      <c r="A437" s="15">
        <v>46103</v>
      </c>
      <c r="B437" t="s">
        <v>430</v>
      </c>
      <c r="C437" t="s">
        <v>233</v>
      </c>
      <c r="D437" t="s">
        <v>49</v>
      </c>
      <c r="E437" t="s">
        <v>250</v>
      </c>
      <c r="F437" t="s">
        <v>251</v>
      </c>
      <c r="G437" t="s">
        <v>234</v>
      </c>
      <c r="H437" t="s">
        <v>235</v>
      </c>
      <c r="I437" t="s">
        <v>234</v>
      </c>
      <c r="J437" t="s">
        <v>0</v>
      </c>
      <c r="K437" t="s">
        <v>2</v>
      </c>
      <c r="L437">
        <v>27456</v>
      </c>
      <c r="M437">
        <v>36</v>
      </c>
      <c r="N437">
        <v>7</v>
      </c>
      <c r="O437">
        <v>832.91399999999999</v>
      </c>
      <c r="P437">
        <v>113.3</v>
      </c>
      <c r="Q437">
        <v>20</v>
      </c>
      <c r="R437">
        <v>4</v>
      </c>
      <c r="S437" t="s">
        <v>116</v>
      </c>
      <c r="T437">
        <v>5</v>
      </c>
      <c r="U437">
        <v>5</v>
      </c>
      <c r="V437">
        <v>0</v>
      </c>
      <c r="W437">
        <v>0</v>
      </c>
      <c r="X437">
        <v>0</v>
      </c>
      <c r="Y437" s="20">
        <f>SUM(Table1[[#This Row],[dty_type_cnt1]:[dty_type_cnt5]])</f>
        <v>10</v>
      </c>
    </row>
    <row r="438" spans="1:25" x14ac:dyDescent="0.25">
      <c r="A438" s="15">
        <v>46103</v>
      </c>
      <c r="B438" t="s">
        <v>430</v>
      </c>
      <c r="C438" t="s">
        <v>233</v>
      </c>
      <c r="D438" t="s">
        <v>49</v>
      </c>
      <c r="E438" t="s">
        <v>252</v>
      </c>
      <c r="F438" t="s">
        <v>253</v>
      </c>
      <c r="G438" t="s">
        <v>234</v>
      </c>
      <c r="H438" t="s">
        <v>235</v>
      </c>
      <c r="I438" t="s">
        <v>234</v>
      </c>
      <c r="J438" t="s">
        <v>0</v>
      </c>
      <c r="K438" t="s">
        <v>2</v>
      </c>
      <c r="L438">
        <v>27456</v>
      </c>
      <c r="M438">
        <v>32</v>
      </c>
      <c r="N438">
        <v>28</v>
      </c>
      <c r="O438">
        <v>1112.7529999999999</v>
      </c>
      <c r="P438">
        <v>340</v>
      </c>
      <c r="Q438">
        <v>20</v>
      </c>
      <c r="R438">
        <v>7</v>
      </c>
      <c r="S438" t="s">
        <v>116</v>
      </c>
      <c r="T438">
        <v>7</v>
      </c>
      <c r="U438">
        <v>4</v>
      </c>
      <c r="V438">
        <v>3</v>
      </c>
      <c r="W438">
        <v>0</v>
      </c>
      <c r="X438">
        <v>0</v>
      </c>
      <c r="Y438" s="20">
        <f>SUM(Table1[[#This Row],[dty_type_cnt1]:[dty_type_cnt5]])</f>
        <v>14</v>
      </c>
    </row>
    <row r="439" spans="1:25" x14ac:dyDescent="0.25">
      <c r="A439" s="15">
        <v>46103</v>
      </c>
      <c r="B439" t="s">
        <v>430</v>
      </c>
      <c r="C439" t="s">
        <v>233</v>
      </c>
      <c r="D439" t="s">
        <v>49</v>
      </c>
      <c r="E439" t="s">
        <v>254</v>
      </c>
      <c r="F439" t="s">
        <v>255</v>
      </c>
      <c r="G439" t="s">
        <v>234</v>
      </c>
      <c r="H439" t="s">
        <v>235</v>
      </c>
      <c r="I439" t="s">
        <v>234</v>
      </c>
      <c r="J439" t="s">
        <v>0</v>
      </c>
      <c r="K439" t="s">
        <v>2</v>
      </c>
      <c r="L439">
        <v>27456</v>
      </c>
      <c r="M439">
        <v>32</v>
      </c>
      <c r="N439">
        <v>9</v>
      </c>
      <c r="O439">
        <v>929.13599999999997</v>
      </c>
      <c r="P439">
        <v>145.9</v>
      </c>
      <c r="Q439">
        <v>30</v>
      </c>
      <c r="R439">
        <v>4</v>
      </c>
      <c r="S439" t="s">
        <v>116</v>
      </c>
      <c r="T439">
        <v>2</v>
      </c>
      <c r="U439">
        <v>3</v>
      </c>
      <c r="V439">
        <v>0</v>
      </c>
      <c r="W439">
        <v>0</v>
      </c>
      <c r="X439">
        <v>0</v>
      </c>
      <c r="Y439" s="20">
        <f>SUM(Table1[[#This Row],[dty_type_cnt1]:[dty_type_cnt5]])</f>
        <v>5</v>
      </c>
    </row>
    <row r="440" spans="1:25" x14ac:dyDescent="0.25">
      <c r="A440" s="15">
        <v>46103</v>
      </c>
      <c r="B440" t="s">
        <v>430</v>
      </c>
      <c r="C440" t="s">
        <v>233</v>
      </c>
      <c r="D440" t="s">
        <v>46</v>
      </c>
      <c r="E440">
        <v>5</v>
      </c>
      <c r="F440" t="s">
        <v>112</v>
      </c>
      <c r="G440" t="s">
        <v>234</v>
      </c>
      <c r="H440" t="s">
        <v>235</v>
      </c>
      <c r="I440" t="s">
        <v>234</v>
      </c>
      <c r="J440" t="s">
        <v>156</v>
      </c>
      <c r="K440" t="s">
        <v>45</v>
      </c>
      <c r="L440">
        <v>27458</v>
      </c>
      <c r="M440">
        <v>68</v>
      </c>
      <c r="N440">
        <v>8</v>
      </c>
      <c r="O440">
        <v>540.19200000000001</v>
      </c>
      <c r="P440">
        <v>1.6</v>
      </c>
      <c r="Q440">
        <v>30</v>
      </c>
      <c r="R440">
        <v>4</v>
      </c>
      <c r="S440" t="s">
        <v>116</v>
      </c>
      <c r="T440">
        <v>4</v>
      </c>
      <c r="U440">
        <v>4</v>
      </c>
      <c r="V440">
        <v>0</v>
      </c>
      <c r="W440">
        <v>0</v>
      </c>
      <c r="X440">
        <v>0</v>
      </c>
      <c r="Y440" s="20">
        <f>SUM(Table1[[#This Row],[dty_type_cnt1]:[dty_type_cnt5]])</f>
        <v>8</v>
      </c>
    </row>
    <row r="441" spans="1:25" x14ac:dyDescent="0.25">
      <c r="A441" s="15">
        <v>46103</v>
      </c>
      <c r="B441" t="s">
        <v>430</v>
      </c>
      <c r="C441" t="s">
        <v>233</v>
      </c>
      <c r="D441" t="s">
        <v>46</v>
      </c>
      <c r="E441">
        <v>10</v>
      </c>
      <c r="F441" t="s">
        <v>261</v>
      </c>
      <c r="G441" t="s">
        <v>234</v>
      </c>
      <c r="H441" t="s">
        <v>235</v>
      </c>
      <c r="I441" t="s">
        <v>234</v>
      </c>
      <c r="J441" t="s">
        <v>156</v>
      </c>
      <c r="K441" t="s">
        <v>45</v>
      </c>
      <c r="L441">
        <v>27458</v>
      </c>
      <c r="M441">
        <v>14</v>
      </c>
      <c r="N441">
        <v>2</v>
      </c>
      <c r="O441">
        <v>355.18400000000003</v>
      </c>
      <c r="P441">
        <v>0.2</v>
      </c>
      <c r="Q441">
        <v>30</v>
      </c>
      <c r="R441">
        <v>1</v>
      </c>
      <c r="S441" t="s">
        <v>116</v>
      </c>
      <c r="T441">
        <v>1</v>
      </c>
      <c r="U441">
        <v>1</v>
      </c>
      <c r="V441">
        <v>0</v>
      </c>
      <c r="W441">
        <v>0</v>
      </c>
      <c r="X441">
        <v>0</v>
      </c>
      <c r="Y441" s="20">
        <f>SUM(Table1[[#This Row],[dty_type_cnt1]:[dty_type_cnt5]])</f>
        <v>2</v>
      </c>
    </row>
    <row r="442" spans="1:25" x14ac:dyDescent="0.25">
      <c r="A442" s="15">
        <v>46103</v>
      </c>
      <c r="B442" t="s">
        <v>430</v>
      </c>
      <c r="C442" t="s">
        <v>233</v>
      </c>
      <c r="D442" t="s">
        <v>46</v>
      </c>
      <c r="E442" t="s">
        <v>141</v>
      </c>
      <c r="F442" t="s">
        <v>65</v>
      </c>
      <c r="G442" t="s">
        <v>234</v>
      </c>
      <c r="H442" t="s">
        <v>235</v>
      </c>
      <c r="I442" t="s">
        <v>234</v>
      </c>
      <c r="J442" t="s">
        <v>0</v>
      </c>
      <c r="K442" t="s">
        <v>45</v>
      </c>
      <c r="L442">
        <v>27458</v>
      </c>
      <c r="M442">
        <v>75</v>
      </c>
      <c r="N442">
        <v>16</v>
      </c>
      <c r="O442">
        <v>1756.2570000000001</v>
      </c>
      <c r="P442">
        <v>318.5</v>
      </c>
      <c r="Q442">
        <v>30</v>
      </c>
      <c r="R442">
        <v>8</v>
      </c>
      <c r="S442" t="s">
        <v>116</v>
      </c>
      <c r="T442">
        <v>8</v>
      </c>
      <c r="U442">
        <v>6</v>
      </c>
      <c r="V442">
        <v>3</v>
      </c>
      <c r="W442">
        <v>0</v>
      </c>
      <c r="X442">
        <v>0</v>
      </c>
      <c r="Y442" s="20">
        <f>SUM(Table1[[#This Row],[dty_type_cnt1]:[dty_type_cnt5]])</f>
        <v>17</v>
      </c>
    </row>
    <row r="443" spans="1:25" x14ac:dyDescent="0.25">
      <c r="A443" s="15">
        <v>46103</v>
      </c>
      <c r="B443" t="s">
        <v>430</v>
      </c>
      <c r="C443" t="s">
        <v>233</v>
      </c>
      <c r="D443" t="s">
        <v>49</v>
      </c>
      <c r="E443" t="s">
        <v>142</v>
      </c>
      <c r="F443" t="s">
        <v>65</v>
      </c>
      <c r="G443" t="s">
        <v>234</v>
      </c>
      <c r="H443" t="s">
        <v>235</v>
      </c>
      <c r="I443" t="s">
        <v>234</v>
      </c>
      <c r="J443" t="s">
        <v>0</v>
      </c>
      <c r="K443" t="s">
        <v>45</v>
      </c>
      <c r="L443">
        <v>27458</v>
      </c>
      <c r="M443">
        <v>75</v>
      </c>
      <c r="N443">
        <v>12</v>
      </c>
      <c r="O443">
        <v>1670.1189999999999</v>
      </c>
      <c r="P443">
        <v>157.19999999999999</v>
      </c>
      <c r="Q443">
        <v>30</v>
      </c>
      <c r="R443">
        <v>6</v>
      </c>
      <c r="S443" t="s">
        <v>116</v>
      </c>
      <c r="T443">
        <v>6</v>
      </c>
      <c r="U443">
        <v>5</v>
      </c>
      <c r="V443">
        <v>3</v>
      </c>
      <c r="W443">
        <v>0</v>
      </c>
      <c r="X443">
        <v>0</v>
      </c>
      <c r="Y443" s="20">
        <f>SUM(Table1[[#This Row],[dty_type_cnt1]:[dty_type_cnt5]])</f>
        <v>14</v>
      </c>
    </row>
    <row r="444" spans="1:25" x14ac:dyDescent="0.25">
      <c r="A444" s="15">
        <v>46103</v>
      </c>
      <c r="B444" t="s">
        <v>430</v>
      </c>
      <c r="C444" t="s">
        <v>233</v>
      </c>
      <c r="D444" t="s">
        <v>46</v>
      </c>
      <c r="E444">
        <v>17</v>
      </c>
      <c r="F444" t="s">
        <v>144</v>
      </c>
      <c r="G444" t="s">
        <v>234</v>
      </c>
      <c r="H444" t="s">
        <v>235</v>
      </c>
      <c r="I444" t="s">
        <v>234</v>
      </c>
      <c r="J444" t="s">
        <v>63</v>
      </c>
      <c r="K444" t="s">
        <v>45</v>
      </c>
      <c r="L444">
        <v>27458</v>
      </c>
      <c r="M444">
        <v>10</v>
      </c>
      <c r="N444">
        <v>2</v>
      </c>
      <c r="O444">
        <v>245.63499999999999</v>
      </c>
      <c r="P444">
        <v>2.9</v>
      </c>
      <c r="Q444">
        <v>49</v>
      </c>
      <c r="R444">
        <v>1</v>
      </c>
      <c r="S444" t="s">
        <v>116</v>
      </c>
      <c r="T444">
        <v>1</v>
      </c>
      <c r="U444">
        <v>1</v>
      </c>
      <c r="V444">
        <v>0</v>
      </c>
      <c r="W444">
        <v>0</v>
      </c>
      <c r="X444">
        <v>0</v>
      </c>
      <c r="Y444" s="20">
        <f>SUM(Table1[[#This Row],[dty_type_cnt1]:[dty_type_cnt5]])</f>
        <v>2</v>
      </c>
    </row>
    <row r="445" spans="1:25" x14ac:dyDescent="0.25">
      <c r="A445" s="15">
        <v>46103</v>
      </c>
      <c r="B445" t="s">
        <v>430</v>
      </c>
      <c r="C445" t="s">
        <v>233</v>
      </c>
      <c r="D445" t="s">
        <v>46</v>
      </c>
      <c r="E445">
        <v>22</v>
      </c>
      <c r="F445" t="s">
        <v>70</v>
      </c>
      <c r="G445" t="s">
        <v>234</v>
      </c>
      <c r="H445" t="s">
        <v>235</v>
      </c>
      <c r="I445" t="s">
        <v>234</v>
      </c>
      <c r="J445" t="s">
        <v>0</v>
      </c>
      <c r="K445" t="s">
        <v>45</v>
      </c>
      <c r="L445">
        <v>27458</v>
      </c>
      <c r="M445">
        <v>70</v>
      </c>
      <c r="N445">
        <v>10</v>
      </c>
      <c r="O445">
        <v>957.35900000000004</v>
      </c>
      <c r="P445">
        <v>190.4</v>
      </c>
      <c r="Q445">
        <v>25</v>
      </c>
      <c r="R445">
        <v>5</v>
      </c>
      <c r="S445" t="s">
        <v>116</v>
      </c>
      <c r="T445">
        <v>4</v>
      </c>
      <c r="U445">
        <v>4</v>
      </c>
      <c r="V445">
        <v>1</v>
      </c>
      <c r="W445">
        <v>0</v>
      </c>
      <c r="X445">
        <v>0</v>
      </c>
      <c r="Y445" s="20">
        <f>SUM(Table1[[#This Row],[dty_type_cnt1]:[dty_type_cnt5]])</f>
        <v>9</v>
      </c>
    </row>
    <row r="446" spans="1:25" x14ac:dyDescent="0.25">
      <c r="A446" s="15">
        <v>46103</v>
      </c>
      <c r="B446" t="s">
        <v>430</v>
      </c>
      <c r="C446" t="s">
        <v>233</v>
      </c>
      <c r="D446" t="s">
        <v>46</v>
      </c>
      <c r="E446">
        <v>27</v>
      </c>
      <c r="F446" t="s">
        <v>270</v>
      </c>
      <c r="G446" t="s">
        <v>234</v>
      </c>
      <c r="H446" t="s">
        <v>235</v>
      </c>
      <c r="I446" t="s">
        <v>234</v>
      </c>
      <c r="J446" t="s">
        <v>156</v>
      </c>
      <c r="K446" t="s">
        <v>45</v>
      </c>
      <c r="L446">
        <v>27458</v>
      </c>
      <c r="M446">
        <v>54</v>
      </c>
      <c r="N446">
        <v>8</v>
      </c>
      <c r="O446">
        <v>1079.73</v>
      </c>
      <c r="P446">
        <v>0.8</v>
      </c>
      <c r="Q446">
        <v>30</v>
      </c>
      <c r="R446">
        <v>4</v>
      </c>
      <c r="S446" t="s">
        <v>116</v>
      </c>
      <c r="T446">
        <v>4</v>
      </c>
      <c r="U446">
        <v>4</v>
      </c>
      <c r="V446">
        <v>0</v>
      </c>
      <c r="W446">
        <v>0</v>
      </c>
      <c r="X446">
        <v>0</v>
      </c>
      <c r="Y446" s="20">
        <f>SUM(Table1[[#This Row],[dty_type_cnt1]:[dty_type_cnt5]])</f>
        <v>8</v>
      </c>
    </row>
    <row r="447" spans="1:25" x14ac:dyDescent="0.25">
      <c r="A447" s="15">
        <v>46103</v>
      </c>
      <c r="B447" t="s">
        <v>430</v>
      </c>
      <c r="C447" t="s">
        <v>233</v>
      </c>
      <c r="D447" t="s">
        <v>46</v>
      </c>
      <c r="E447" t="s">
        <v>236</v>
      </c>
      <c r="F447" t="s">
        <v>237</v>
      </c>
      <c r="G447" t="s">
        <v>234</v>
      </c>
      <c r="H447" t="s">
        <v>235</v>
      </c>
      <c r="I447" t="s">
        <v>234</v>
      </c>
      <c r="J447" t="s">
        <v>0</v>
      </c>
      <c r="K447" t="s">
        <v>45</v>
      </c>
      <c r="L447">
        <v>27458</v>
      </c>
      <c r="M447">
        <v>6</v>
      </c>
      <c r="N447">
        <v>2</v>
      </c>
      <c r="O447">
        <v>185.26499999999999</v>
      </c>
      <c r="P447">
        <v>27.7</v>
      </c>
      <c r="Q447">
        <v>30</v>
      </c>
      <c r="R447">
        <v>1</v>
      </c>
      <c r="S447" t="s">
        <v>116</v>
      </c>
      <c r="T447">
        <v>0</v>
      </c>
      <c r="U447">
        <v>1</v>
      </c>
      <c r="V447">
        <v>0</v>
      </c>
      <c r="W447">
        <v>0</v>
      </c>
      <c r="X447">
        <v>0</v>
      </c>
      <c r="Y447" s="20">
        <f>SUM(Table1[[#This Row],[dty_type_cnt1]:[dty_type_cnt5]])</f>
        <v>1</v>
      </c>
    </row>
    <row r="448" spans="1:25" x14ac:dyDescent="0.25">
      <c r="A448" s="15">
        <v>46103</v>
      </c>
      <c r="B448" t="s">
        <v>430</v>
      </c>
      <c r="C448" t="s">
        <v>233</v>
      </c>
      <c r="D448" t="s">
        <v>46</v>
      </c>
      <c r="E448">
        <v>33</v>
      </c>
      <c r="F448" t="s">
        <v>238</v>
      </c>
      <c r="G448" t="s">
        <v>234</v>
      </c>
      <c r="H448" t="s">
        <v>235</v>
      </c>
      <c r="I448" t="s">
        <v>234</v>
      </c>
      <c r="J448" t="s">
        <v>0</v>
      </c>
      <c r="K448" t="s">
        <v>45</v>
      </c>
      <c r="L448">
        <v>27458</v>
      </c>
      <c r="M448">
        <v>42</v>
      </c>
      <c r="N448">
        <v>8</v>
      </c>
      <c r="O448">
        <v>1175</v>
      </c>
      <c r="P448">
        <v>112.7</v>
      </c>
      <c r="Q448">
        <v>30</v>
      </c>
      <c r="R448">
        <v>4</v>
      </c>
      <c r="S448" t="s">
        <v>116</v>
      </c>
      <c r="T448">
        <v>6</v>
      </c>
      <c r="U448">
        <v>1</v>
      </c>
      <c r="V448">
        <v>3</v>
      </c>
      <c r="W448">
        <v>0</v>
      </c>
      <c r="X448">
        <v>0</v>
      </c>
      <c r="Y448" s="20">
        <f>SUM(Table1[[#This Row],[dty_type_cnt1]:[dty_type_cnt5]])</f>
        <v>10</v>
      </c>
    </row>
    <row r="449" spans="1:25" x14ac:dyDescent="0.25">
      <c r="A449" s="15">
        <v>46103</v>
      </c>
      <c r="B449" t="s">
        <v>430</v>
      </c>
      <c r="C449" t="s">
        <v>233</v>
      </c>
      <c r="D449" t="s">
        <v>46</v>
      </c>
      <c r="E449">
        <v>34</v>
      </c>
      <c r="F449" t="s">
        <v>239</v>
      </c>
      <c r="G449" t="s">
        <v>234</v>
      </c>
      <c r="H449" t="s">
        <v>235</v>
      </c>
      <c r="I449" t="s">
        <v>234</v>
      </c>
      <c r="J449" t="s">
        <v>0</v>
      </c>
      <c r="K449" t="s">
        <v>45</v>
      </c>
      <c r="L449">
        <v>27458</v>
      </c>
      <c r="M449">
        <v>47</v>
      </c>
      <c r="N449">
        <v>10</v>
      </c>
      <c r="O449">
        <v>1100.894</v>
      </c>
      <c r="P449">
        <v>83</v>
      </c>
      <c r="Q449">
        <v>30</v>
      </c>
      <c r="R449">
        <v>5</v>
      </c>
      <c r="S449" t="s">
        <v>116</v>
      </c>
      <c r="T449">
        <v>2</v>
      </c>
      <c r="U449">
        <v>5</v>
      </c>
      <c r="V449">
        <v>2</v>
      </c>
      <c r="W449">
        <v>0</v>
      </c>
      <c r="X449">
        <v>0</v>
      </c>
      <c r="Y449" s="20">
        <f>SUM(Table1[[#This Row],[dty_type_cnt1]:[dty_type_cnt5]])</f>
        <v>9</v>
      </c>
    </row>
    <row r="450" spans="1:25" x14ac:dyDescent="0.25">
      <c r="A450" s="15">
        <v>46103</v>
      </c>
      <c r="B450" t="s">
        <v>430</v>
      </c>
      <c r="C450" t="s">
        <v>233</v>
      </c>
      <c r="D450" t="s">
        <v>46</v>
      </c>
      <c r="E450">
        <v>43</v>
      </c>
      <c r="F450" t="s">
        <v>143</v>
      </c>
      <c r="G450" t="s">
        <v>234</v>
      </c>
      <c r="H450" t="s">
        <v>235</v>
      </c>
      <c r="I450" t="s">
        <v>234</v>
      </c>
      <c r="J450" t="s">
        <v>0</v>
      </c>
      <c r="K450" t="s">
        <v>45</v>
      </c>
      <c r="L450">
        <v>27458</v>
      </c>
      <c r="M450">
        <v>66</v>
      </c>
      <c r="N450">
        <v>12</v>
      </c>
      <c r="O450">
        <v>1090.8579999999999</v>
      </c>
      <c r="P450">
        <v>131.4</v>
      </c>
      <c r="Q450">
        <v>30</v>
      </c>
      <c r="R450">
        <v>6</v>
      </c>
      <c r="S450" t="s">
        <v>116</v>
      </c>
      <c r="T450">
        <v>5</v>
      </c>
      <c r="U450">
        <v>6</v>
      </c>
      <c r="V450">
        <v>0</v>
      </c>
      <c r="W450">
        <v>0</v>
      </c>
      <c r="X450">
        <v>0</v>
      </c>
      <c r="Y450" s="20">
        <f>SUM(Table1[[#This Row],[dty_type_cnt1]:[dty_type_cnt5]])</f>
        <v>11</v>
      </c>
    </row>
    <row r="451" spans="1:25" x14ac:dyDescent="0.25">
      <c r="A451" s="15">
        <v>46103</v>
      </c>
      <c r="B451" t="s">
        <v>430</v>
      </c>
      <c r="C451" t="s">
        <v>233</v>
      </c>
      <c r="D451" t="s">
        <v>46</v>
      </c>
      <c r="E451">
        <v>53</v>
      </c>
      <c r="F451" t="s">
        <v>74</v>
      </c>
      <c r="G451" t="s">
        <v>234</v>
      </c>
      <c r="H451" t="s">
        <v>235</v>
      </c>
      <c r="I451" t="s">
        <v>234</v>
      </c>
      <c r="J451" t="s">
        <v>0</v>
      </c>
      <c r="K451" t="s">
        <v>45</v>
      </c>
      <c r="L451">
        <v>27458</v>
      </c>
      <c r="M451">
        <v>12</v>
      </c>
      <c r="N451">
        <v>2</v>
      </c>
      <c r="O451">
        <v>396.642</v>
      </c>
      <c r="P451">
        <v>0.2</v>
      </c>
      <c r="Q451">
        <v>20</v>
      </c>
      <c r="R451">
        <v>1</v>
      </c>
      <c r="S451" t="s">
        <v>116</v>
      </c>
      <c r="T451">
        <v>2</v>
      </c>
      <c r="U451">
        <v>0</v>
      </c>
      <c r="V451">
        <v>1</v>
      </c>
      <c r="W451">
        <v>0</v>
      </c>
      <c r="X451">
        <v>0</v>
      </c>
      <c r="Y451" s="20">
        <f>SUM(Table1[[#This Row],[dty_type_cnt1]:[dty_type_cnt5]])</f>
        <v>3</v>
      </c>
    </row>
    <row r="452" spans="1:25" x14ac:dyDescent="0.25">
      <c r="A452" s="15">
        <v>46103</v>
      </c>
      <c r="B452" t="s">
        <v>430</v>
      </c>
      <c r="C452" t="s">
        <v>233</v>
      </c>
      <c r="D452" t="s">
        <v>46</v>
      </c>
      <c r="E452">
        <v>64</v>
      </c>
      <c r="F452" t="s">
        <v>75</v>
      </c>
      <c r="G452" t="s">
        <v>234</v>
      </c>
      <c r="H452" t="s">
        <v>235</v>
      </c>
      <c r="I452" t="s">
        <v>234</v>
      </c>
      <c r="J452" t="s">
        <v>76</v>
      </c>
      <c r="K452" t="s">
        <v>45</v>
      </c>
      <c r="L452">
        <v>27458</v>
      </c>
      <c r="M452">
        <v>10</v>
      </c>
      <c r="N452">
        <v>2</v>
      </c>
      <c r="O452">
        <v>330.745</v>
      </c>
      <c r="P452">
        <v>0.2</v>
      </c>
      <c r="Q452">
        <v>60</v>
      </c>
      <c r="R452">
        <v>1</v>
      </c>
      <c r="S452" t="s">
        <v>116</v>
      </c>
      <c r="T452">
        <v>1</v>
      </c>
      <c r="U452">
        <v>1</v>
      </c>
      <c r="V452">
        <v>0</v>
      </c>
      <c r="W452">
        <v>0</v>
      </c>
      <c r="X452">
        <v>0</v>
      </c>
      <c r="Y452" s="20">
        <f>SUM(Table1[[#This Row],[dty_type_cnt1]:[dty_type_cnt5]])</f>
        <v>2</v>
      </c>
    </row>
    <row r="453" spans="1:25" x14ac:dyDescent="0.25">
      <c r="A453" s="15">
        <v>46103</v>
      </c>
      <c r="B453" t="s">
        <v>430</v>
      </c>
      <c r="C453" t="s">
        <v>233</v>
      </c>
      <c r="D453" t="s">
        <v>46</v>
      </c>
      <c r="E453">
        <v>77</v>
      </c>
      <c r="F453" t="s">
        <v>150</v>
      </c>
      <c r="G453" t="s">
        <v>234</v>
      </c>
      <c r="H453" t="s">
        <v>235</v>
      </c>
      <c r="I453" t="s">
        <v>234</v>
      </c>
      <c r="J453" t="s">
        <v>0</v>
      </c>
      <c r="K453" t="s">
        <v>45</v>
      </c>
      <c r="L453">
        <v>27458</v>
      </c>
      <c r="M453">
        <v>20</v>
      </c>
      <c r="N453">
        <v>2</v>
      </c>
      <c r="O453">
        <v>244.65</v>
      </c>
      <c r="P453">
        <v>2.9</v>
      </c>
      <c r="Q453">
        <v>30</v>
      </c>
      <c r="R453">
        <v>1</v>
      </c>
      <c r="S453" t="s">
        <v>116</v>
      </c>
      <c r="T453">
        <v>1</v>
      </c>
      <c r="U453">
        <v>1</v>
      </c>
      <c r="V453">
        <v>0</v>
      </c>
      <c r="W453">
        <v>0</v>
      </c>
      <c r="X453">
        <v>0</v>
      </c>
      <c r="Y453" s="20">
        <f>SUM(Table1[[#This Row],[dty_type_cnt1]:[dty_type_cnt5]])</f>
        <v>2</v>
      </c>
    </row>
    <row r="454" spans="1:25" x14ac:dyDescent="0.25">
      <c r="A454" s="15">
        <v>46103</v>
      </c>
      <c r="B454" t="s">
        <v>430</v>
      </c>
      <c r="C454" t="s">
        <v>233</v>
      </c>
      <c r="D454" t="s">
        <v>46</v>
      </c>
      <c r="E454">
        <v>97</v>
      </c>
      <c r="F454" t="s">
        <v>108</v>
      </c>
      <c r="G454" t="s">
        <v>234</v>
      </c>
      <c r="H454" t="s">
        <v>235</v>
      </c>
      <c r="I454" t="s">
        <v>234</v>
      </c>
      <c r="J454" t="s">
        <v>0</v>
      </c>
      <c r="K454" t="s">
        <v>45</v>
      </c>
      <c r="L454">
        <v>27458</v>
      </c>
      <c r="M454">
        <v>18</v>
      </c>
      <c r="N454">
        <v>4</v>
      </c>
      <c r="O454">
        <v>1027.97</v>
      </c>
      <c r="P454">
        <v>55.4</v>
      </c>
      <c r="Q454">
        <v>30</v>
      </c>
      <c r="R454">
        <v>2</v>
      </c>
      <c r="S454" t="s">
        <v>116</v>
      </c>
      <c r="T454">
        <v>3</v>
      </c>
      <c r="U454">
        <v>1</v>
      </c>
      <c r="V454">
        <v>1</v>
      </c>
      <c r="W454">
        <v>0</v>
      </c>
      <c r="X454">
        <v>0</v>
      </c>
      <c r="Y454" s="20">
        <f>SUM(Table1[[#This Row],[dty_type_cnt1]:[dty_type_cnt5]])</f>
        <v>5</v>
      </c>
    </row>
    <row r="455" spans="1:25" x14ac:dyDescent="0.25">
      <c r="A455" s="15">
        <v>46103</v>
      </c>
      <c r="B455" t="s">
        <v>430</v>
      </c>
      <c r="C455" t="s">
        <v>233</v>
      </c>
      <c r="D455" t="s">
        <v>46</v>
      </c>
      <c r="E455" t="s">
        <v>56</v>
      </c>
      <c r="F455" t="s">
        <v>57</v>
      </c>
      <c r="G455" t="s">
        <v>234</v>
      </c>
      <c r="H455" t="s">
        <v>235</v>
      </c>
      <c r="I455" t="s">
        <v>234</v>
      </c>
      <c r="J455" t="s">
        <v>0</v>
      </c>
      <c r="K455" t="s">
        <v>45</v>
      </c>
      <c r="L455">
        <v>27458</v>
      </c>
      <c r="M455">
        <v>12</v>
      </c>
      <c r="N455">
        <v>2</v>
      </c>
      <c r="O455">
        <v>208.15100000000001</v>
      </c>
      <c r="P455">
        <v>0.4</v>
      </c>
      <c r="Q455">
        <v>30</v>
      </c>
      <c r="R455">
        <v>1</v>
      </c>
      <c r="S455" t="s">
        <v>116</v>
      </c>
      <c r="T455">
        <v>1</v>
      </c>
      <c r="U455">
        <v>1</v>
      </c>
      <c r="V455">
        <v>0</v>
      </c>
      <c r="W455">
        <v>0</v>
      </c>
      <c r="X455">
        <v>0</v>
      </c>
      <c r="Y455" s="20">
        <f>SUM(Table1[[#This Row],[dty_type_cnt1]:[dty_type_cnt5]])</f>
        <v>2</v>
      </c>
    </row>
    <row r="456" spans="1:25" x14ac:dyDescent="0.25">
      <c r="A456" s="15">
        <v>46103</v>
      </c>
      <c r="B456" t="s">
        <v>430</v>
      </c>
      <c r="C456" t="s">
        <v>233</v>
      </c>
      <c r="D456" t="s">
        <v>46</v>
      </c>
      <c r="E456" t="s">
        <v>77</v>
      </c>
      <c r="F456" t="s">
        <v>78</v>
      </c>
      <c r="G456" t="s">
        <v>234</v>
      </c>
      <c r="H456" t="s">
        <v>235</v>
      </c>
      <c r="I456" t="s">
        <v>234</v>
      </c>
      <c r="J456" t="s">
        <v>0</v>
      </c>
      <c r="K456" t="s">
        <v>45</v>
      </c>
      <c r="L456">
        <v>27458</v>
      </c>
      <c r="M456">
        <v>14</v>
      </c>
      <c r="N456">
        <v>2</v>
      </c>
      <c r="O456">
        <v>219.52600000000001</v>
      </c>
      <c r="P456">
        <v>0.2</v>
      </c>
      <c r="Q456">
        <v>30</v>
      </c>
      <c r="R456">
        <v>1</v>
      </c>
      <c r="S456" t="s">
        <v>116</v>
      </c>
      <c r="T456">
        <v>1</v>
      </c>
      <c r="U456">
        <v>1</v>
      </c>
      <c r="V456">
        <v>0</v>
      </c>
      <c r="W456">
        <v>0</v>
      </c>
      <c r="X456">
        <v>0</v>
      </c>
      <c r="Y456" s="20">
        <f>SUM(Table1[[#This Row],[dty_type_cnt1]:[dty_type_cnt5]])</f>
        <v>2</v>
      </c>
    </row>
    <row r="457" spans="1:25" x14ac:dyDescent="0.25">
      <c r="A457" s="15">
        <v>46103</v>
      </c>
      <c r="B457" t="s">
        <v>430</v>
      </c>
      <c r="C457" t="s">
        <v>233</v>
      </c>
      <c r="D457" t="s">
        <v>46</v>
      </c>
      <c r="E457" t="s">
        <v>50</v>
      </c>
      <c r="F457" t="s">
        <v>51</v>
      </c>
      <c r="G457" t="s">
        <v>234</v>
      </c>
      <c r="H457" t="s">
        <v>235</v>
      </c>
      <c r="I457" t="s">
        <v>234</v>
      </c>
      <c r="J457" t="s">
        <v>0</v>
      </c>
      <c r="K457" t="s">
        <v>45</v>
      </c>
      <c r="L457">
        <v>27458</v>
      </c>
      <c r="M457">
        <v>36</v>
      </c>
      <c r="N457">
        <v>6</v>
      </c>
      <c r="O457">
        <v>811.85400000000004</v>
      </c>
      <c r="P457">
        <v>12.6</v>
      </c>
      <c r="Q457">
        <v>30</v>
      </c>
      <c r="R457">
        <v>3</v>
      </c>
      <c r="S457" t="s">
        <v>116</v>
      </c>
      <c r="T457">
        <v>3</v>
      </c>
      <c r="U457">
        <v>3</v>
      </c>
      <c r="V457">
        <v>0</v>
      </c>
      <c r="W457">
        <v>0</v>
      </c>
      <c r="X457">
        <v>0</v>
      </c>
      <c r="Y457" s="20">
        <f>SUM(Table1[[#This Row],[dty_type_cnt1]:[dty_type_cnt5]])</f>
        <v>6</v>
      </c>
    </row>
    <row r="458" spans="1:25" x14ac:dyDescent="0.25">
      <c r="A458" s="15">
        <v>46103</v>
      </c>
      <c r="B458" t="s">
        <v>430</v>
      </c>
      <c r="C458" t="s">
        <v>233</v>
      </c>
      <c r="D458" t="s">
        <v>46</v>
      </c>
      <c r="E458" t="s">
        <v>124</v>
      </c>
      <c r="F458" t="s">
        <v>125</v>
      </c>
      <c r="G458" t="s">
        <v>234</v>
      </c>
      <c r="H458" t="s">
        <v>235</v>
      </c>
      <c r="I458" t="s">
        <v>234</v>
      </c>
      <c r="J458" t="s">
        <v>0</v>
      </c>
      <c r="K458" t="s">
        <v>45</v>
      </c>
      <c r="L458">
        <v>27458</v>
      </c>
      <c r="M458">
        <v>12</v>
      </c>
      <c r="N458">
        <v>2</v>
      </c>
      <c r="O458">
        <v>245.95599999999999</v>
      </c>
      <c r="P458">
        <v>43.1</v>
      </c>
      <c r="Q458">
        <v>40</v>
      </c>
      <c r="R458">
        <v>1</v>
      </c>
      <c r="S458" t="s">
        <v>116</v>
      </c>
      <c r="T458">
        <v>2</v>
      </c>
      <c r="U458">
        <v>0</v>
      </c>
      <c r="V458">
        <v>1</v>
      </c>
      <c r="W458">
        <v>0</v>
      </c>
      <c r="X458">
        <v>0</v>
      </c>
      <c r="Y458" s="20">
        <f>SUM(Table1[[#This Row],[dty_type_cnt1]:[dty_type_cnt5]])</f>
        <v>3</v>
      </c>
    </row>
    <row r="459" spans="1:25" x14ac:dyDescent="0.25">
      <c r="A459" s="15">
        <v>46103</v>
      </c>
      <c r="B459" t="s">
        <v>430</v>
      </c>
      <c r="C459" t="s">
        <v>233</v>
      </c>
      <c r="D459" t="s">
        <v>46</v>
      </c>
      <c r="E459" t="s">
        <v>240</v>
      </c>
      <c r="F459" t="s">
        <v>241</v>
      </c>
      <c r="G459" t="s">
        <v>234</v>
      </c>
      <c r="H459" t="s">
        <v>235</v>
      </c>
      <c r="I459" t="s">
        <v>234</v>
      </c>
      <c r="J459" t="s">
        <v>0</v>
      </c>
      <c r="K459" t="s">
        <v>45</v>
      </c>
      <c r="L459">
        <v>27458</v>
      </c>
      <c r="M459">
        <v>20</v>
      </c>
      <c r="N459">
        <v>4</v>
      </c>
      <c r="O459">
        <v>476.96</v>
      </c>
      <c r="P459">
        <v>71</v>
      </c>
      <c r="Q459">
        <v>60</v>
      </c>
      <c r="R459">
        <v>2</v>
      </c>
      <c r="S459" t="s">
        <v>116</v>
      </c>
      <c r="T459">
        <v>2</v>
      </c>
      <c r="U459">
        <v>2</v>
      </c>
      <c r="V459">
        <v>0</v>
      </c>
      <c r="W459">
        <v>0</v>
      </c>
      <c r="X459">
        <v>0</v>
      </c>
      <c r="Y459" s="20">
        <f>SUM(Table1[[#This Row],[dty_type_cnt1]:[dty_type_cnt5]])</f>
        <v>4</v>
      </c>
    </row>
    <row r="460" spans="1:25" x14ac:dyDescent="0.25">
      <c r="A460" s="15">
        <v>46103</v>
      </c>
      <c r="B460" t="s">
        <v>430</v>
      </c>
      <c r="C460" t="s">
        <v>233</v>
      </c>
      <c r="D460" t="s">
        <v>46</v>
      </c>
      <c r="E460" t="s">
        <v>242</v>
      </c>
      <c r="F460" t="s">
        <v>243</v>
      </c>
      <c r="G460" t="s">
        <v>234</v>
      </c>
      <c r="H460" t="s">
        <v>235</v>
      </c>
      <c r="I460" t="s">
        <v>234</v>
      </c>
      <c r="J460" t="s">
        <v>0</v>
      </c>
      <c r="K460" t="s">
        <v>45</v>
      </c>
      <c r="L460">
        <v>27458</v>
      </c>
      <c r="M460">
        <v>65</v>
      </c>
      <c r="N460">
        <v>10</v>
      </c>
      <c r="O460">
        <v>1250.634</v>
      </c>
      <c r="P460">
        <v>284.89999999999998</v>
      </c>
      <c r="Q460">
        <v>30</v>
      </c>
      <c r="R460">
        <v>5</v>
      </c>
      <c r="S460" t="s">
        <v>116</v>
      </c>
      <c r="T460">
        <v>5</v>
      </c>
      <c r="U460">
        <v>4</v>
      </c>
      <c r="V460">
        <v>1</v>
      </c>
      <c r="W460">
        <v>0</v>
      </c>
      <c r="X460">
        <v>0</v>
      </c>
      <c r="Y460" s="20">
        <f>SUM(Table1[[#This Row],[dty_type_cnt1]:[dty_type_cnt5]])</f>
        <v>10</v>
      </c>
    </row>
    <row r="461" spans="1:25" x14ac:dyDescent="0.25">
      <c r="A461" s="15">
        <v>46103</v>
      </c>
      <c r="B461" t="s">
        <v>430</v>
      </c>
      <c r="C461" t="s">
        <v>233</v>
      </c>
      <c r="D461" t="s">
        <v>176</v>
      </c>
      <c r="E461" t="s">
        <v>347</v>
      </c>
      <c r="F461" t="s">
        <v>348</v>
      </c>
      <c r="G461" t="s">
        <v>234</v>
      </c>
      <c r="H461" t="s">
        <v>235</v>
      </c>
      <c r="I461" t="s">
        <v>234</v>
      </c>
      <c r="J461" t="s">
        <v>76</v>
      </c>
      <c r="K461" t="s">
        <v>45</v>
      </c>
      <c r="L461">
        <v>27458</v>
      </c>
      <c r="M461">
        <v>44</v>
      </c>
      <c r="N461">
        <v>4</v>
      </c>
      <c r="O461">
        <v>479.83699999999999</v>
      </c>
      <c r="P461">
        <v>30.8</v>
      </c>
      <c r="Q461">
        <v>30</v>
      </c>
      <c r="R461">
        <v>2</v>
      </c>
      <c r="S461" t="s">
        <v>116</v>
      </c>
      <c r="T461">
        <v>3</v>
      </c>
      <c r="U461">
        <v>1</v>
      </c>
      <c r="V461">
        <v>1</v>
      </c>
      <c r="W461">
        <v>0</v>
      </c>
      <c r="X461">
        <v>0</v>
      </c>
      <c r="Y461" s="20">
        <f>SUM(Table1[[#This Row],[dty_type_cnt1]:[dty_type_cnt5]])</f>
        <v>5</v>
      </c>
    </row>
    <row r="462" spans="1:25" x14ac:dyDescent="0.25">
      <c r="A462" s="15">
        <v>46103</v>
      </c>
      <c r="B462" t="s">
        <v>430</v>
      </c>
      <c r="C462" t="s">
        <v>233</v>
      </c>
      <c r="D462" t="s">
        <v>176</v>
      </c>
      <c r="E462" t="s">
        <v>351</v>
      </c>
      <c r="F462" t="s">
        <v>352</v>
      </c>
      <c r="G462" t="s">
        <v>234</v>
      </c>
      <c r="H462" t="s">
        <v>235</v>
      </c>
      <c r="I462" t="s">
        <v>234</v>
      </c>
      <c r="J462" t="s">
        <v>76</v>
      </c>
      <c r="K462" t="s">
        <v>45</v>
      </c>
      <c r="L462">
        <v>27458</v>
      </c>
      <c r="M462">
        <v>24</v>
      </c>
      <c r="N462">
        <v>4</v>
      </c>
      <c r="O462">
        <v>795.08399999999995</v>
      </c>
      <c r="P462">
        <v>0.8</v>
      </c>
      <c r="Q462">
        <v>60</v>
      </c>
      <c r="R462">
        <v>2</v>
      </c>
      <c r="S462" t="s">
        <v>116</v>
      </c>
      <c r="T462">
        <v>2</v>
      </c>
      <c r="U462">
        <v>2</v>
      </c>
      <c r="V462">
        <v>0</v>
      </c>
      <c r="W462">
        <v>0</v>
      </c>
      <c r="X462">
        <v>0</v>
      </c>
      <c r="Y462" s="20">
        <f>SUM(Table1[[#This Row],[dty_type_cnt1]:[dty_type_cnt5]])</f>
        <v>4</v>
      </c>
    </row>
    <row r="463" spans="1:25" x14ac:dyDescent="0.25">
      <c r="A463" s="15">
        <v>46103</v>
      </c>
      <c r="B463" t="s">
        <v>430</v>
      </c>
      <c r="C463" t="s">
        <v>233</v>
      </c>
      <c r="D463" t="s">
        <v>54</v>
      </c>
      <c r="E463" t="s">
        <v>79</v>
      </c>
      <c r="F463" t="s">
        <v>113</v>
      </c>
      <c r="G463" t="s">
        <v>234</v>
      </c>
      <c r="H463" t="s">
        <v>235</v>
      </c>
      <c r="I463" t="s">
        <v>234</v>
      </c>
      <c r="J463" t="s">
        <v>0</v>
      </c>
      <c r="K463" t="s">
        <v>45</v>
      </c>
      <c r="L463">
        <v>27458</v>
      </c>
      <c r="M463">
        <v>35</v>
      </c>
      <c r="N463">
        <v>4</v>
      </c>
      <c r="O463">
        <v>326.76400000000001</v>
      </c>
      <c r="P463">
        <v>0.8</v>
      </c>
      <c r="Q463">
        <v>25</v>
      </c>
      <c r="R463">
        <v>2</v>
      </c>
      <c r="S463" t="s">
        <v>116</v>
      </c>
      <c r="T463">
        <v>2</v>
      </c>
      <c r="U463">
        <v>1</v>
      </c>
      <c r="V463">
        <v>1</v>
      </c>
      <c r="W463">
        <v>0</v>
      </c>
      <c r="X463">
        <v>0</v>
      </c>
      <c r="Y463" s="20">
        <f>SUM(Table1[[#This Row],[dty_type_cnt1]:[dty_type_cnt5]])</f>
        <v>4</v>
      </c>
    </row>
    <row r="464" spans="1:25" x14ac:dyDescent="0.25">
      <c r="A464" s="15">
        <v>46103</v>
      </c>
      <c r="B464" t="s">
        <v>430</v>
      </c>
      <c r="C464" t="s">
        <v>233</v>
      </c>
      <c r="D464" t="s">
        <v>54</v>
      </c>
      <c r="E464" t="s">
        <v>244</v>
      </c>
      <c r="F464" t="s">
        <v>245</v>
      </c>
      <c r="G464" t="s">
        <v>234</v>
      </c>
      <c r="H464" t="s">
        <v>235</v>
      </c>
      <c r="I464" t="s">
        <v>234</v>
      </c>
      <c r="J464" t="s">
        <v>0</v>
      </c>
      <c r="K464" t="s">
        <v>45</v>
      </c>
      <c r="L464">
        <v>27458</v>
      </c>
      <c r="M464">
        <v>50</v>
      </c>
      <c r="N464">
        <v>12</v>
      </c>
      <c r="O464">
        <v>1011.105</v>
      </c>
      <c r="P464">
        <v>270.89999999999998</v>
      </c>
      <c r="Q464">
        <v>30</v>
      </c>
      <c r="R464">
        <v>6</v>
      </c>
      <c r="S464" t="s">
        <v>116</v>
      </c>
      <c r="T464">
        <v>3</v>
      </c>
      <c r="U464">
        <v>6</v>
      </c>
      <c r="V464">
        <v>2</v>
      </c>
      <c r="W464">
        <v>0</v>
      </c>
      <c r="X464">
        <v>0</v>
      </c>
      <c r="Y464" s="20">
        <f>SUM(Table1[[#This Row],[dty_type_cnt1]:[dty_type_cnt5]])</f>
        <v>11</v>
      </c>
    </row>
    <row r="465" spans="1:25" x14ac:dyDescent="0.25">
      <c r="A465" s="15">
        <v>46103</v>
      </c>
      <c r="B465" t="s">
        <v>430</v>
      </c>
      <c r="C465" t="s">
        <v>233</v>
      </c>
      <c r="D465" t="s">
        <v>54</v>
      </c>
      <c r="E465" t="s">
        <v>246</v>
      </c>
      <c r="F465" t="s">
        <v>247</v>
      </c>
      <c r="G465" t="s">
        <v>234</v>
      </c>
      <c r="H465" t="s">
        <v>235</v>
      </c>
      <c r="I465" t="s">
        <v>234</v>
      </c>
      <c r="J465" t="s">
        <v>0</v>
      </c>
      <c r="K465" t="s">
        <v>45</v>
      </c>
      <c r="L465">
        <v>27458</v>
      </c>
      <c r="M465">
        <v>53</v>
      </c>
      <c r="N465">
        <v>6</v>
      </c>
      <c r="O465">
        <v>465.6</v>
      </c>
      <c r="P465">
        <v>95.3</v>
      </c>
      <c r="Q465">
        <v>15</v>
      </c>
      <c r="R465">
        <v>3</v>
      </c>
      <c r="S465" t="s">
        <v>116</v>
      </c>
      <c r="T465">
        <v>2</v>
      </c>
      <c r="U465">
        <v>2</v>
      </c>
      <c r="V465">
        <v>2</v>
      </c>
      <c r="W465">
        <v>0</v>
      </c>
      <c r="X465">
        <v>0</v>
      </c>
      <c r="Y465" s="20">
        <f>SUM(Table1[[#This Row],[dty_type_cnt1]:[dty_type_cnt5]])</f>
        <v>6</v>
      </c>
    </row>
    <row r="466" spans="1:25" x14ac:dyDescent="0.25">
      <c r="A466" s="15">
        <v>46103</v>
      </c>
      <c r="B466" t="s">
        <v>430</v>
      </c>
      <c r="C466" t="s">
        <v>233</v>
      </c>
      <c r="D466" t="s">
        <v>54</v>
      </c>
      <c r="E466" t="s">
        <v>92</v>
      </c>
      <c r="F466" t="s">
        <v>357</v>
      </c>
      <c r="G466" t="s">
        <v>234</v>
      </c>
      <c r="H466" t="s">
        <v>235</v>
      </c>
      <c r="I466" t="s">
        <v>234</v>
      </c>
      <c r="J466" t="s">
        <v>76</v>
      </c>
      <c r="K466" t="s">
        <v>45</v>
      </c>
      <c r="L466">
        <v>27458</v>
      </c>
      <c r="M466">
        <v>33</v>
      </c>
      <c r="N466">
        <v>2</v>
      </c>
      <c r="O466">
        <v>136.22800000000001</v>
      </c>
      <c r="P466">
        <v>8.1999999999999993</v>
      </c>
      <c r="Q466">
        <v>20</v>
      </c>
      <c r="R466">
        <v>1</v>
      </c>
      <c r="S466" t="s">
        <v>116</v>
      </c>
      <c r="T466">
        <v>1</v>
      </c>
      <c r="U466">
        <v>1</v>
      </c>
      <c r="V466">
        <v>0</v>
      </c>
      <c r="W466">
        <v>0</v>
      </c>
      <c r="X466">
        <v>0</v>
      </c>
      <c r="Y466" s="20">
        <f>SUM(Table1[[#This Row],[dty_type_cnt1]:[dty_type_cnt5]])</f>
        <v>2</v>
      </c>
    </row>
    <row r="467" spans="1:25" x14ac:dyDescent="0.25">
      <c r="A467" s="15">
        <v>46103</v>
      </c>
      <c r="B467" t="s">
        <v>430</v>
      </c>
      <c r="C467" t="s">
        <v>233</v>
      </c>
      <c r="D467" t="s">
        <v>54</v>
      </c>
      <c r="E467" t="s">
        <v>132</v>
      </c>
      <c r="F467" t="s">
        <v>133</v>
      </c>
      <c r="G467" t="s">
        <v>234</v>
      </c>
      <c r="H467" t="s">
        <v>235</v>
      </c>
      <c r="I467" t="s">
        <v>234</v>
      </c>
      <c r="J467" t="s">
        <v>0</v>
      </c>
      <c r="K467" t="s">
        <v>45</v>
      </c>
      <c r="L467">
        <v>27458</v>
      </c>
      <c r="M467">
        <v>20</v>
      </c>
      <c r="N467">
        <v>2</v>
      </c>
      <c r="O467">
        <v>133.22</v>
      </c>
      <c r="P467">
        <v>0.4</v>
      </c>
      <c r="Q467">
        <v>30</v>
      </c>
      <c r="R467">
        <v>1</v>
      </c>
      <c r="S467" t="s">
        <v>116</v>
      </c>
      <c r="T467">
        <v>1</v>
      </c>
      <c r="U467">
        <v>1</v>
      </c>
      <c r="V467">
        <v>0</v>
      </c>
      <c r="W467">
        <v>0</v>
      </c>
      <c r="X467">
        <v>0</v>
      </c>
      <c r="Y467" s="20">
        <f>SUM(Table1[[#This Row],[dty_type_cnt1]:[dty_type_cnt5]])</f>
        <v>2</v>
      </c>
    </row>
    <row r="468" spans="1:25" x14ac:dyDescent="0.25">
      <c r="A468" s="15">
        <v>46104</v>
      </c>
      <c r="B468" t="s">
        <v>430</v>
      </c>
      <c r="C468" t="s">
        <v>233</v>
      </c>
      <c r="D468" t="s">
        <v>54</v>
      </c>
      <c r="E468" t="s">
        <v>248</v>
      </c>
      <c r="F468" t="s">
        <v>249</v>
      </c>
      <c r="G468" t="s">
        <v>234</v>
      </c>
      <c r="H468" t="s">
        <v>235</v>
      </c>
      <c r="I468" t="s">
        <v>234</v>
      </c>
      <c r="J468" t="s">
        <v>0</v>
      </c>
      <c r="K468" t="s">
        <v>45</v>
      </c>
      <c r="L468">
        <v>27458</v>
      </c>
      <c r="M468">
        <v>40</v>
      </c>
      <c r="N468">
        <v>8</v>
      </c>
      <c r="O468">
        <v>560.48</v>
      </c>
      <c r="P468">
        <v>142</v>
      </c>
      <c r="Q468">
        <v>20</v>
      </c>
      <c r="R468">
        <v>4</v>
      </c>
      <c r="S468" t="s">
        <v>116</v>
      </c>
      <c r="T468">
        <v>3</v>
      </c>
      <c r="U468">
        <v>3</v>
      </c>
      <c r="V468">
        <v>2</v>
      </c>
      <c r="W468">
        <v>0</v>
      </c>
      <c r="X468">
        <v>0</v>
      </c>
      <c r="Y468" s="20">
        <f>SUM(Table1[[#This Row],[dty_type_cnt1]:[dty_type_cnt5]])</f>
        <v>8</v>
      </c>
    </row>
    <row r="469" spans="1:25" x14ac:dyDescent="0.25">
      <c r="A469" s="15">
        <v>46104</v>
      </c>
      <c r="B469" t="s">
        <v>430</v>
      </c>
      <c r="C469" t="s">
        <v>233</v>
      </c>
      <c r="D469" t="s">
        <v>49</v>
      </c>
      <c r="E469" t="s">
        <v>250</v>
      </c>
      <c r="F469" t="s">
        <v>251</v>
      </c>
      <c r="G469" t="s">
        <v>234</v>
      </c>
      <c r="H469" t="s">
        <v>235</v>
      </c>
      <c r="I469" t="s">
        <v>234</v>
      </c>
      <c r="J469" t="s">
        <v>0</v>
      </c>
      <c r="K469" t="s">
        <v>45</v>
      </c>
      <c r="L469">
        <v>27458</v>
      </c>
      <c r="M469">
        <v>42</v>
      </c>
      <c r="N469">
        <v>8</v>
      </c>
      <c r="O469">
        <v>971.73299999999995</v>
      </c>
      <c r="P469">
        <v>130</v>
      </c>
      <c r="Q469">
        <v>20</v>
      </c>
      <c r="R469">
        <v>2</v>
      </c>
      <c r="S469" t="s">
        <v>116</v>
      </c>
      <c r="T469">
        <v>3</v>
      </c>
      <c r="U469">
        <v>4</v>
      </c>
      <c r="V469">
        <v>1</v>
      </c>
      <c r="W469">
        <v>0</v>
      </c>
      <c r="X469">
        <v>0</v>
      </c>
      <c r="Y469" s="20">
        <f>SUM(Table1[[#This Row],[dty_type_cnt1]:[dty_type_cnt5]])</f>
        <v>8</v>
      </c>
    </row>
    <row r="470" spans="1:25" x14ac:dyDescent="0.25">
      <c r="A470" s="15">
        <v>46104</v>
      </c>
      <c r="B470" t="s">
        <v>430</v>
      </c>
      <c r="C470" t="s">
        <v>233</v>
      </c>
      <c r="D470" t="s">
        <v>49</v>
      </c>
      <c r="E470" t="s">
        <v>254</v>
      </c>
      <c r="F470" t="s">
        <v>255</v>
      </c>
      <c r="G470" t="s">
        <v>234</v>
      </c>
      <c r="H470" t="s">
        <v>235</v>
      </c>
      <c r="I470" t="s">
        <v>234</v>
      </c>
      <c r="J470" t="s">
        <v>0</v>
      </c>
      <c r="K470" t="s">
        <v>45</v>
      </c>
      <c r="L470">
        <v>27458</v>
      </c>
      <c r="M470">
        <v>26</v>
      </c>
      <c r="N470">
        <v>6</v>
      </c>
      <c r="O470">
        <v>754.923</v>
      </c>
      <c r="P470">
        <v>96.8</v>
      </c>
      <c r="Q470">
        <v>25</v>
      </c>
      <c r="R470">
        <v>5</v>
      </c>
      <c r="S470" t="s">
        <v>116</v>
      </c>
      <c r="T470">
        <v>3</v>
      </c>
      <c r="U470">
        <v>3</v>
      </c>
      <c r="V470">
        <v>0</v>
      </c>
      <c r="W470">
        <v>0</v>
      </c>
      <c r="X470">
        <v>0</v>
      </c>
      <c r="Y470" s="20">
        <f>SUM(Table1[[#This Row],[dty_type_cnt1]:[dty_type_cnt5]])</f>
        <v>6</v>
      </c>
    </row>
    <row r="471" spans="1:25" x14ac:dyDescent="0.25">
      <c r="A471" s="15">
        <v>46104</v>
      </c>
      <c r="B471" t="s">
        <v>430</v>
      </c>
      <c r="C471" t="s">
        <v>233</v>
      </c>
      <c r="D471" t="s">
        <v>49</v>
      </c>
      <c r="E471" t="s">
        <v>135</v>
      </c>
      <c r="F471" t="s">
        <v>136</v>
      </c>
      <c r="G471" t="s">
        <v>234</v>
      </c>
      <c r="H471" t="s">
        <v>235</v>
      </c>
      <c r="I471" t="s">
        <v>234</v>
      </c>
      <c r="J471" t="s">
        <v>0</v>
      </c>
      <c r="K471" t="s">
        <v>45</v>
      </c>
      <c r="L471">
        <v>27458</v>
      </c>
      <c r="M471">
        <v>20</v>
      </c>
      <c r="N471">
        <v>4</v>
      </c>
      <c r="O471">
        <v>1344.046</v>
      </c>
      <c r="P471">
        <v>0.4</v>
      </c>
      <c r="Q471">
        <v>30</v>
      </c>
      <c r="R471">
        <v>2</v>
      </c>
      <c r="S471" t="s">
        <v>116</v>
      </c>
      <c r="T471">
        <v>2</v>
      </c>
      <c r="U471">
        <v>2</v>
      </c>
      <c r="V471">
        <v>0</v>
      </c>
      <c r="W471">
        <v>0</v>
      </c>
      <c r="X471">
        <v>0</v>
      </c>
      <c r="Y471" s="20">
        <f>SUM(Table1[[#This Row],[dty_type_cnt1]:[dty_type_cnt5]])</f>
        <v>4</v>
      </c>
    </row>
    <row r="472" spans="1:25" x14ac:dyDescent="0.25">
      <c r="A472" s="15">
        <v>46104</v>
      </c>
      <c r="B472" t="s">
        <v>430</v>
      </c>
      <c r="C472" t="s">
        <v>233</v>
      </c>
      <c r="D472" t="s">
        <v>46</v>
      </c>
      <c r="E472">
        <v>5</v>
      </c>
      <c r="F472" t="s">
        <v>112</v>
      </c>
      <c r="G472" t="s">
        <v>234</v>
      </c>
      <c r="H472" t="s">
        <v>235</v>
      </c>
      <c r="I472" t="s">
        <v>234</v>
      </c>
      <c r="J472" t="s">
        <v>156</v>
      </c>
      <c r="K472" t="s">
        <v>59</v>
      </c>
      <c r="L472">
        <v>27459</v>
      </c>
      <c r="M472">
        <v>32</v>
      </c>
      <c r="N472">
        <v>4</v>
      </c>
      <c r="O472">
        <v>252.13200000000001</v>
      </c>
      <c r="P472">
        <v>11.4</v>
      </c>
      <c r="Q472">
        <v>20</v>
      </c>
      <c r="R472">
        <v>2</v>
      </c>
      <c r="S472" t="s">
        <v>116</v>
      </c>
      <c r="T472">
        <v>2</v>
      </c>
      <c r="U472">
        <v>2</v>
      </c>
      <c r="V472">
        <v>0</v>
      </c>
      <c r="W472">
        <v>0</v>
      </c>
      <c r="X472">
        <v>0</v>
      </c>
      <c r="Y472" s="20">
        <f>SUM(Table1[[#This Row],[dty_type_cnt1]:[dty_type_cnt5]])</f>
        <v>4</v>
      </c>
    </row>
    <row r="473" spans="1:25" x14ac:dyDescent="0.25">
      <c r="A473" s="15">
        <v>46104</v>
      </c>
      <c r="B473" t="s">
        <v>430</v>
      </c>
      <c r="C473" t="s">
        <v>233</v>
      </c>
      <c r="D473" t="s">
        <v>46</v>
      </c>
      <c r="E473">
        <v>10</v>
      </c>
      <c r="F473" t="s">
        <v>261</v>
      </c>
      <c r="G473" t="s">
        <v>234</v>
      </c>
      <c r="H473" t="s">
        <v>235</v>
      </c>
      <c r="I473" t="s">
        <v>234</v>
      </c>
      <c r="J473" t="s">
        <v>156</v>
      </c>
      <c r="K473" t="s">
        <v>59</v>
      </c>
      <c r="L473">
        <v>27459</v>
      </c>
      <c r="M473">
        <v>14</v>
      </c>
      <c r="N473">
        <v>2</v>
      </c>
      <c r="O473">
        <v>355.18400000000003</v>
      </c>
      <c r="P473">
        <v>0.2</v>
      </c>
      <c r="Q473">
        <v>25</v>
      </c>
      <c r="R473">
        <v>1</v>
      </c>
      <c r="S473" t="s">
        <v>116</v>
      </c>
      <c r="T473">
        <v>1</v>
      </c>
      <c r="U473">
        <v>1</v>
      </c>
      <c r="V473">
        <v>1</v>
      </c>
      <c r="W473">
        <v>0</v>
      </c>
      <c r="X473">
        <v>0</v>
      </c>
      <c r="Y473" s="20">
        <f>SUM(Table1[[#This Row],[dty_type_cnt1]:[dty_type_cnt5]])</f>
        <v>3</v>
      </c>
    </row>
    <row r="474" spans="1:25" x14ac:dyDescent="0.25">
      <c r="A474" s="15">
        <v>46104</v>
      </c>
      <c r="B474" t="s">
        <v>430</v>
      </c>
      <c r="C474" t="s">
        <v>233</v>
      </c>
      <c r="D474" t="s">
        <v>46</v>
      </c>
      <c r="E474" t="s">
        <v>141</v>
      </c>
      <c r="F474" t="s">
        <v>65</v>
      </c>
      <c r="G474" t="s">
        <v>234</v>
      </c>
      <c r="H474" t="s">
        <v>235</v>
      </c>
      <c r="I474" t="s">
        <v>234</v>
      </c>
      <c r="J474" t="s">
        <v>0</v>
      </c>
      <c r="K474" t="s">
        <v>59</v>
      </c>
      <c r="L474">
        <v>27459</v>
      </c>
      <c r="M474">
        <v>96</v>
      </c>
      <c r="N474">
        <v>46</v>
      </c>
      <c r="O474">
        <v>2242.7440000000001</v>
      </c>
      <c r="P474">
        <v>795.8</v>
      </c>
      <c r="Q474">
        <v>15</v>
      </c>
      <c r="R474">
        <v>17</v>
      </c>
      <c r="S474" t="s">
        <v>116</v>
      </c>
      <c r="T474">
        <v>17</v>
      </c>
      <c r="U474">
        <v>10</v>
      </c>
      <c r="V474">
        <v>4</v>
      </c>
      <c r="W474">
        <v>0</v>
      </c>
      <c r="X474">
        <v>0</v>
      </c>
      <c r="Y474" s="20">
        <f>SUM(Table1[[#This Row],[dty_type_cnt1]:[dty_type_cnt5]])</f>
        <v>31</v>
      </c>
    </row>
    <row r="475" spans="1:25" x14ac:dyDescent="0.25">
      <c r="A475" s="15">
        <v>46104</v>
      </c>
      <c r="B475" t="s">
        <v>430</v>
      </c>
      <c r="C475" t="s">
        <v>233</v>
      </c>
      <c r="D475" t="s">
        <v>49</v>
      </c>
      <c r="E475" t="s">
        <v>142</v>
      </c>
      <c r="F475" t="s">
        <v>65</v>
      </c>
      <c r="G475" t="s">
        <v>234</v>
      </c>
      <c r="H475" t="s">
        <v>235</v>
      </c>
      <c r="I475" t="s">
        <v>234</v>
      </c>
      <c r="J475" t="s">
        <v>0</v>
      </c>
      <c r="K475" t="s">
        <v>59</v>
      </c>
      <c r="L475">
        <v>27459</v>
      </c>
      <c r="M475">
        <v>87</v>
      </c>
      <c r="N475">
        <v>22</v>
      </c>
      <c r="O475">
        <v>1937.04</v>
      </c>
      <c r="P475">
        <v>361.5</v>
      </c>
      <c r="Q475">
        <v>25</v>
      </c>
      <c r="R475">
        <v>10</v>
      </c>
      <c r="S475" t="s">
        <v>116</v>
      </c>
      <c r="T475">
        <v>10</v>
      </c>
      <c r="U475">
        <v>10</v>
      </c>
      <c r="V475">
        <v>1</v>
      </c>
      <c r="W475">
        <v>0</v>
      </c>
      <c r="X475">
        <v>0</v>
      </c>
      <c r="Y475" s="20">
        <f>SUM(Table1[[#This Row],[dty_type_cnt1]:[dty_type_cnt5]])</f>
        <v>21</v>
      </c>
    </row>
    <row r="476" spans="1:25" x14ac:dyDescent="0.25">
      <c r="A476" s="15">
        <v>46104</v>
      </c>
      <c r="B476" t="s">
        <v>430</v>
      </c>
      <c r="C476" t="s">
        <v>233</v>
      </c>
      <c r="D476" t="s">
        <v>46</v>
      </c>
      <c r="E476">
        <v>17</v>
      </c>
      <c r="F476" t="s">
        <v>144</v>
      </c>
      <c r="G476" t="s">
        <v>234</v>
      </c>
      <c r="H476" t="s">
        <v>235</v>
      </c>
      <c r="I476" t="s">
        <v>234</v>
      </c>
      <c r="J476" t="s">
        <v>63</v>
      </c>
      <c r="K476" t="s">
        <v>59</v>
      </c>
      <c r="L476">
        <v>27459</v>
      </c>
      <c r="M476">
        <v>8</v>
      </c>
      <c r="N476">
        <v>2</v>
      </c>
      <c r="O476">
        <v>196.50800000000001</v>
      </c>
      <c r="P476">
        <v>2.9</v>
      </c>
      <c r="Q476">
        <v>200</v>
      </c>
      <c r="R476">
        <v>1</v>
      </c>
      <c r="S476" t="s">
        <v>116</v>
      </c>
      <c r="T476">
        <v>1</v>
      </c>
      <c r="U476">
        <v>1</v>
      </c>
      <c r="V476">
        <v>0</v>
      </c>
      <c r="W476">
        <v>0</v>
      </c>
      <c r="X476">
        <v>0</v>
      </c>
      <c r="Y476" s="20">
        <f>SUM(Table1[[#This Row],[dty_type_cnt1]:[dty_type_cnt5]])</f>
        <v>2</v>
      </c>
    </row>
    <row r="477" spans="1:25" x14ac:dyDescent="0.25">
      <c r="A477" s="15">
        <v>46104</v>
      </c>
      <c r="B477" t="s">
        <v>430</v>
      </c>
      <c r="C477" t="s">
        <v>233</v>
      </c>
      <c r="D477" t="s">
        <v>46</v>
      </c>
      <c r="E477" t="s">
        <v>66</v>
      </c>
      <c r="F477" t="s">
        <v>67</v>
      </c>
      <c r="G477" t="s">
        <v>234</v>
      </c>
      <c r="H477" t="s">
        <v>235</v>
      </c>
      <c r="I477" t="s">
        <v>234</v>
      </c>
      <c r="J477" t="s">
        <v>0</v>
      </c>
      <c r="K477" t="s">
        <v>59</v>
      </c>
      <c r="L477">
        <v>27459</v>
      </c>
      <c r="M477">
        <v>16</v>
      </c>
      <c r="N477">
        <v>8</v>
      </c>
      <c r="O477">
        <v>738.42399999999998</v>
      </c>
      <c r="P477">
        <v>84.6</v>
      </c>
      <c r="Q477">
        <v>0</v>
      </c>
      <c r="R477">
        <v>4</v>
      </c>
      <c r="S477" t="s">
        <v>116</v>
      </c>
      <c r="T477">
        <v>4</v>
      </c>
      <c r="U477">
        <v>0</v>
      </c>
      <c r="V477">
        <v>0</v>
      </c>
      <c r="W477">
        <v>0</v>
      </c>
      <c r="X477">
        <v>0</v>
      </c>
      <c r="Y477" s="20">
        <f>SUM(Table1[[#This Row],[dty_type_cnt1]:[dty_type_cnt5]])</f>
        <v>4</v>
      </c>
    </row>
    <row r="478" spans="1:25" x14ac:dyDescent="0.25">
      <c r="A478" s="15">
        <v>46104</v>
      </c>
      <c r="B478" t="s">
        <v>430</v>
      </c>
      <c r="C478" t="s">
        <v>233</v>
      </c>
      <c r="D478" t="s">
        <v>46</v>
      </c>
      <c r="E478" t="s">
        <v>68</v>
      </c>
      <c r="F478" t="s">
        <v>69</v>
      </c>
      <c r="G478" t="s">
        <v>234</v>
      </c>
      <c r="H478" t="s">
        <v>235</v>
      </c>
      <c r="I478" t="s">
        <v>234</v>
      </c>
      <c r="J478" t="s">
        <v>0</v>
      </c>
      <c r="K478" t="s">
        <v>59</v>
      </c>
      <c r="L478">
        <v>27459</v>
      </c>
      <c r="M478">
        <v>16</v>
      </c>
      <c r="N478">
        <v>8</v>
      </c>
      <c r="O478">
        <v>734.75400000000002</v>
      </c>
      <c r="P478">
        <v>100</v>
      </c>
      <c r="Q478">
        <v>30</v>
      </c>
      <c r="R478">
        <v>0</v>
      </c>
      <c r="S478" t="s">
        <v>116</v>
      </c>
      <c r="T478">
        <v>0</v>
      </c>
      <c r="U478">
        <v>4</v>
      </c>
      <c r="V478">
        <v>4</v>
      </c>
      <c r="W478">
        <v>0</v>
      </c>
      <c r="X478">
        <v>0</v>
      </c>
      <c r="Y478" s="20">
        <f>SUM(Table1[[#This Row],[dty_type_cnt1]:[dty_type_cnt5]])</f>
        <v>8</v>
      </c>
    </row>
    <row r="479" spans="1:25" x14ac:dyDescent="0.25">
      <c r="A479" s="15">
        <v>46104</v>
      </c>
      <c r="B479" t="s">
        <v>430</v>
      </c>
      <c r="C479" t="s">
        <v>233</v>
      </c>
      <c r="D479" t="s">
        <v>46</v>
      </c>
      <c r="E479">
        <v>22</v>
      </c>
      <c r="F479" t="s">
        <v>70</v>
      </c>
      <c r="G479" t="s">
        <v>234</v>
      </c>
      <c r="H479" t="s">
        <v>235</v>
      </c>
      <c r="I479" t="s">
        <v>234</v>
      </c>
      <c r="J479" t="s">
        <v>0</v>
      </c>
      <c r="K479" t="s">
        <v>59</v>
      </c>
      <c r="L479">
        <v>27459</v>
      </c>
      <c r="M479">
        <v>42</v>
      </c>
      <c r="N479">
        <v>10</v>
      </c>
      <c r="O479">
        <v>631.22500000000002</v>
      </c>
      <c r="P479">
        <v>170.3</v>
      </c>
      <c r="Q479">
        <v>20</v>
      </c>
      <c r="R479">
        <v>4</v>
      </c>
      <c r="S479" t="s">
        <v>116</v>
      </c>
      <c r="T479">
        <v>4</v>
      </c>
      <c r="U479">
        <v>2</v>
      </c>
      <c r="V479">
        <v>1</v>
      </c>
      <c r="W479">
        <v>0</v>
      </c>
      <c r="X479">
        <v>0</v>
      </c>
      <c r="Y479" s="20">
        <f>SUM(Table1[[#This Row],[dty_type_cnt1]:[dty_type_cnt5]])</f>
        <v>7</v>
      </c>
    </row>
    <row r="480" spans="1:25" x14ac:dyDescent="0.25">
      <c r="A480" s="15">
        <v>46104</v>
      </c>
      <c r="B480" t="s">
        <v>430</v>
      </c>
      <c r="C480" t="s">
        <v>233</v>
      </c>
      <c r="D480" t="s">
        <v>46</v>
      </c>
      <c r="E480">
        <v>27</v>
      </c>
      <c r="F480" t="s">
        <v>270</v>
      </c>
      <c r="G480" t="s">
        <v>234</v>
      </c>
      <c r="H480" t="s">
        <v>235</v>
      </c>
      <c r="I480" t="s">
        <v>234</v>
      </c>
      <c r="J480" t="s">
        <v>156</v>
      </c>
      <c r="K480" t="s">
        <v>59</v>
      </c>
      <c r="L480">
        <v>27459</v>
      </c>
      <c r="M480">
        <v>48</v>
      </c>
      <c r="N480">
        <v>8</v>
      </c>
      <c r="O480">
        <v>959.76</v>
      </c>
      <c r="P480">
        <v>0.8</v>
      </c>
      <c r="Q480">
        <v>25</v>
      </c>
      <c r="R480">
        <v>4</v>
      </c>
      <c r="S480" t="s">
        <v>116</v>
      </c>
      <c r="T480">
        <v>4</v>
      </c>
      <c r="U480">
        <v>4</v>
      </c>
      <c r="V480">
        <v>1</v>
      </c>
      <c r="W480">
        <v>0</v>
      </c>
      <c r="X480">
        <v>0</v>
      </c>
      <c r="Y480" s="20">
        <f>SUM(Table1[[#This Row],[dty_type_cnt1]:[dty_type_cnt5]])</f>
        <v>9</v>
      </c>
    </row>
    <row r="481" spans="1:25" x14ac:dyDescent="0.25">
      <c r="A481" s="15">
        <v>46104</v>
      </c>
      <c r="B481" t="s">
        <v>430</v>
      </c>
      <c r="C481" t="s">
        <v>233</v>
      </c>
      <c r="D481" t="s">
        <v>46</v>
      </c>
      <c r="E481" t="s">
        <v>236</v>
      </c>
      <c r="F481" t="s">
        <v>237</v>
      </c>
      <c r="G481" t="s">
        <v>234</v>
      </c>
      <c r="H481" t="s">
        <v>235</v>
      </c>
      <c r="I481" t="s">
        <v>234</v>
      </c>
      <c r="J481" t="s">
        <v>0</v>
      </c>
      <c r="K481" t="s">
        <v>59</v>
      </c>
      <c r="L481">
        <v>27459</v>
      </c>
      <c r="M481">
        <v>62</v>
      </c>
      <c r="N481">
        <v>16</v>
      </c>
      <c r="O481">
        <v>1903.39</v>
      </c>
      <c r="P481">
        <v>285.5</v>
      </c>
      <c r="Q481">
        <v>15</v>
      </c>
      <c r="R481">
        <v>7</v>
      </c>
      <c r="S481" t="s">
        <v>116</v>
      </c>
      <c r="T481">
        <v>6</v>
      </c>
      <c r="U481">
        <v>6</v>
      </c>
      <c r="V481">
        <v>1</v>
      </c>
      <c r="W481">
        <v>0</v>
      </c>
      <c r="X481">
        <v>0</v>
      </c>
      <c r="Y481" s="20">
        <f>SUM(Table1[[#This Row],[dty_type_cnt1]:[dty_type_cnt5]])</f>
        <v>13</v>
      </c>
    </row>
    <row r="482" spans="1:25" x14ac:dyDescent="0.25">
      <c r="A482" s="15">
        <v>46104</v>
      </c>
      <c r="B482" t="s">
        <v>430</v>
      </c>
      <c r="C482" t="s">
        <v>233</v>
      </c>
      <c r="D482" t="s">
        <v>46</v>
      </c>
      <c r="E482">
        <v>33</v>
      </c>
      <c r="F482" t="s">
        <v>238</v>
      </c>
      <c r="G482" t="s">
        <v>234</v>
      </c>
      <c r="H482" t="s">
        <v>235</v>
      </c>
      <c r="I482" t="s">
        <v>234</v>
      </c>
      <c r="J482" t="s">
        <v>0</v>
      </c>
      <c r="K482" t="s">
        <v>59</v>
      </c>
      <c r="L482">
        <v>27459</v>
      </c>
      <c r="M482">
        <v>40</v>
      </c>
      <c r="N482">
        <v>8</v>
      </c>
      <c r="O482">
        <v>1120.579</v>
      </c>
      <c r="P482">
        <v>110.9</v>
      </c>
      <c r="Q482">
        <v>25</v>
      </c>
      <c r="R482">
        <v>4</v>
      </c>
      <c r="S482" t="s">
        <v>116</v>
      </c>
      <c r="T482">
        <v>4</v>
      </c>
      <c r="U482">
        <v>4</v>
      </c>
      <c r="V482">
        <v>0</v>
      </c>
      <c r="W482">
        <v>0</v>
      </c>
      <c r="X482">
        <v>0</v>
      </c>
      <c r="Y482" s="20">
        <f>SUM(Table1[[#This Row],[dty_type_cnt1]:[dty_type_cnt5]])</f>
        <v>8</v>
      </c>
    </row>
    <row r="483" spans="1:25" x14ac:dyDescent="0.25">
      <c r="A483" s="15">
        <v>46104</v>
      </c>
      <c r="B483" t="s">
        <v>430</v>
      </c>
      <c r="C483" t="s">
        <v>233</v>
      </c>
      <c r="D483" t="s">
        <v>46</v>
      </c>
      <c r="E483">
        <v>34</v>
      </c>
      <c r="F483" t="s">
        <v>239</v>
      </c>
      <c r="G483" t="s">
        <v>234</v>
      </c>
      <c r="H483" t="s">
        <v>235</v>
      </c>
      <c r="I483" t="s">
        <v>234</v>
      </c>
      <c r="J483" t="s">
        <v>0</v>
      </c>
      <c r="K483" t="s">
        <v>59</v>
      </c>
      <c r="L483">
        <v>27459</v>
      </c>
      <c r="M483">
        <v>51</v>
      </c>
      <c r="N483">
        <v>10</v>
      </c>
      <c r="O483">
        <v>1198.182</v>
      </c>
      <c r="P483">
        <v>81.599999999999994</v>
      </c>
      <c r="Q483">
        <v>30</v>
      </c>
      <c r="R483">
        <v>5</v>
      </c>
      <c r="S483" t="s">
        <v>116</v>
      </c>
      <c r="T483">
        <v>4</v>
      </c>
      <c r="U483">
        <v>5</v>
      </c>
      <c r="V483">
        <v>0</v>
      </c>
      <c r="W483">
        <v>0</v>
      </c>
      <c r="X483">
        <v>0</v>
      </c>
      <c r="Y483" s="20">
        <f>SUM(Table1[[#This Row],[dty_type_cnt1]:[dty_type_cnt5]])</f>
        <v>9</v>
      </c>
    </row>
    <row r="484" spans="1:25" x14ac:dyDescent="0.25">
      <c r="A484" s="15">
        <v>46104</v>
      </c>
      <c r="B484" t="s">
        <v>430</v>
      </c>
      <c r="C484" t="s">
        <v>233</v>
      </c>
      <c r="D484" t="s">
        <v>46</v>
      </c>
      <c r="E484">
        <v>43</v>
      </c>
      <c r="F484" t="s">
        <v>143</v>
      </c>
      <c r="G484" t="s">
        <v>234</v>
      </c>
      <c r="H484" t="s">
        <v>235</v>
      </c>
      <c r="I484" t="s">
        <v>234</v>
      </c>
      <c r="J484" t="s">
        <v>0</v>
      </c>
      <c r="K484" t="s">
        <v>59</v>
      </c>
      <c r="L484">
        <v>27459</v>
      </c>
      <c r="M484">
        <v>77</v>
      </c>
      <c r="N484">
        <v>16</v>
      </c>
      <c r="O484">
        <v>1272.7560000000001</v>
      </c>
      <c r="P484">
        <v>180.4</v>
      </c>
      <c r="Q484">
        <v>20</v>
      </c>
      <c r="R484">
        <v>8</v>
      </c>
      <c r="S484" t="s">
        <v>116</v>
      </c>
      <c r="T484">
        <v>8</v>
      </c>
      <c r="U484">
        <v>8</v>
      </c>
      <c r="V484">
        <v>0</v>
      </c>
      <c r="W484">
        <v>0</v>
      </c>
      <c r="X484">
        <v>0</v>
      </c>
      <c r="Y484" s="20">
        <f>SUM(Table1[[#This Row],[dty_type_cnt1]:[dty_type_cnt5]])</f>
        <v>16</v>
      </c>
    </row>
    <row r="485" spans="1:25" x14ac:dyDescent="0.25">
      <c r="A485" s="15">
        <v>46104</v>
      </c>
      <c r="B485" t="s">
        <v>430</v>
      </c>
      <c r="C485" t="s">
        <v>233</v>
      </c>
      <c r="D485" t="s">
        <v>46</v>
      </c>
      <c r="E485">
        <v>53</v>
      </c>
      <c r="F485" t="s">
        <v>74</v>
      </c>
      <c r="G485" t="s">
        <v>234</v>
      </c>
      <c r="H485" t="s">
        <v>235</v>
      </c>
      <c r="I485" t="s">
        <v>234</v>
      </c>
      <c r="J485" t="s">
        <v>0</v>
      </c>
      <c r="K485" t="s">
        <v>59</v>
      </c>
      <c r="L485">
        <v>27459</v>
      </c>
      <c r="M485">
        <v>24</v>
      </c>
      <c r="N485">
        <v>6</v>
      </c>
      <c r="O485">
        <v>793.28399999999999</v>
      </c>
      <c r="P485">
        <v>0.6</v>
      </c>
      <c r="Q485">
        <v>20</v>
      </c>
      <c r="R485">
        <v>3</v>
      </c>
      <c r="S485" t="s">
        <v>116</v>
      </c>
      <c r="T485">
        <v>3</v>
      </c>
      <c r="U485">
        <v>3</v>
      </c>
      <c r="V485">
        <v>0</v>
      </c>
      <c r="W485">
        <v>0</v>
      </c>
      <c r="X485">
        <v>0</v>
      </c>
      <c r="Y485" s="20">
        <f>SUM(Table1[[#This Row],[dty_type_cnt1]:[dty_type_cnt5]])</f>
        <v>6</v>
      </c>
    </row>
    <row r="486" spans="1:25" x14ac:dyDescent="0.25">
      <c r="A486" s="15">
        <v>46104</v>
      </c>
      <c r="B486" t="s">
        <v>430</v>
      </c>
      <c r="C486" t="s">
        <v>233</v>
      </c>
      <c r="D486" t="s">
        <v>46</v>
      </c>
      <c r="E486">
        <v>64</v>
      </c>
      <c r="F486" t="s">
        <v>75</v>
      </c>
      <c r="G486" t="s">
        <v>234</v>
      </c>
      <c r="H486" t="s">
        <v>235</v>
      </c>
      <c r="I486" t="s">
        <v>234</v>
      </c>
      <c r="J486" t="s">
        <v>76</v>
      </c>
      <c r="K486" t="s">
        <v>59</v>
      </c>
      <c r="L486">
        <v>27459</v>
      </c>
      <c r="M486">
        <v>8</v>
      </c>
      <c r="N486">
        <v>2</v>
      </c>
      <c r="O486">
        <v>264.596</v>
      </c>
      <c r="P486">
        <v>0.2</v>
      </c>
      <c r="Q486">
        <v>145</v>
      </c>
      <c r="R486">
        <v>1</v>
      </c>
      <c r="S486" t="s">
        <v>116</v>
      </c>
      <c r="T486">
        <v>1</v>
      </c>
      <c r="U486">
        <v>1</v>
      </c>
      <c r="V486">
        <v>0</v>
      </c>
      <c r="W486">
        <v>0</v>
      </c>
      <c r="X486">
        <v>0</v>
      </c>
      <c r="Y486" s="20">
        <f>SUM(Table1[[#This Row],[dty_type_cnt1]:[dty_type_cnt5]])</f>
        <v>2</v>
      </c>
    </row>
    <row r="487" spans="1:25" x14ac:dyDescent="0.25">
      <c r="A487" s="15">
        <v>46104</v>
      </c>
      <c r="B487" t="s">
        <v>430</v>
      </c>
      <c r="C487" t="s">
        <v>233</v>
      </c>
      <c r="D487" t="s">
        <v>46</v>
      </c>
      <c r="E487">
        <v>77</v>
      </c>
      <c r="F487" t="s">
        <v>150</v>
      </c>
      <c r="G487" t="s">
        <v>234</v>
      </c>
      <c r="H487" t="s">
        <v>235</v>
      </c>
      <c r="I487" t="s">
        <v>234</v>
      </c>
      <c r="J487" t="s">
        <v>0</v>
      </c>
      <c r="K487" t="s">
        <v>59</v>
      </c>
      <c r="L487">
        <v>27459</v>
      </c>
      <c r="M487">
        <v>26</v>
      </c>
      <c r="N487">
        <v>6</v>
      </c>
      <c r="O487">
        <v>318.04500000000002</v>
      </c>
      <c r="P487">
        <v>19.8</v>
      </c>
      <c r="Q487">
        <v>20</v>
      </c>
      <c r="R487">
        <v>2</v>
      </c>
      <c r="S487" t="s">
        <v>116</v>
      </c>
      <c r="T487">
        <v>2</v>
      </c>
      <c r="U487">
        <v>2</v>
      </c>
      <c r="V487">
        <v>0</v>
      </c>
      <c r="W487">
        <v>0</v>
      </c>
      <c r="X487">
        <v>0</v>
      </c>
      <c r="Y487" s="20">
        <f>SUM(Table1[[#This Row],[dty_type_cnt1]:[dty_type_cnt5]])</f>
        <v>4</v>
      </c>
    </row>
    <row r="488" spans="1:25" x14ac:dyDescent="0.25">
      <c r="A488" s="15">
        <v>46104</v>
      </c>
      <c r="B488" t="s">
        <v>430</v>
      </c>
      <c r="C488" t="s">
        <v>233</v>
      </c>
      <c r="D488" t="s">
        <v>46</v>
      </c>
      <c r="E488" t="s">
        <v>56</v>
      </c>
      <c r="F488" t="s">
        <v>57</v>
      </c>
      <c r="G488" t="s">
        <v>234</v>
      </c>
      <c r="H488" t="s">
        <v>235</v>
      </c>
      <c r="I488" t="s">
        <v>234</v>
      </c>
      <c r="J488" t="s">
        <v>0</v>
      </c>
      <c r="K488" t="s">
        <v>59</v>
      </c>
      <c r="L488">
        <v>27459</v>
      </c>
      <c r="M488">
        <v>10</v>
      </c>
      <c r="N488">
        <v>2</v>
      </c>
      <c r="O488">
        <v>173.459</v>
      </c>
      <c r="P488">
        <v>0.4</v>
      </c>
      <c r="Q488">
        <v>120</v>
      </c>
      <c r="R488">
        <v>1</v>
      </c>
      <c r="S488" t="s">
        <v>116</v>
      </c>
      <c r="T488">
        <v>1</v>
      </c>
      <c r="U488">
        <v>1</v>
      </c>
      <c r="V488">
        <v>0</v>
      </c>
      <c r="W488">
        <v>0</v>
      </c>
      <c r="X488">
        <v>0</v>
      </c>
      <c r="Y488" s="20">
        <f>SUM(Table1[[#This Row],[dty_type_cnt1]:[dty_type_cnt5]])</f>
        <v>2</v>
      </c>
    </row>
    <row r="489" spans="1:25" x14ac:dyDescent="0.25">
      <c r="A489" s="15">
        <v>46104</v>
      </c>
      <c r="B489" t="s">
        <v>430</v>
      </c>
      <c r="C489" t="s">
        <v>233</v>
      </c>
      <c r="D489" t="s">
        <v>46</v>
      </c>
      <c r="E489" t="s">
        <v>382</v>
      </c>
      <c r="F489" t="s">
        <v>383</v>
      </c>
      <c r="G489" t="s">
        <v>234</v>
      </c>
      <c r="H489" t="s">
        <v>235</v>
      </c>
      <c r="I489" t="s">
        <v>234</v>
      </c>
      <c r="J489" t="s">
        <v>0</v>
      </c>
      <c r="K489" t="s">
        <v>59</v>
      </c>
      <c r="L489">
        <v>27459</v>
      </c>
      <c r="M489">
        <v>12</v>
      </c>
      <c r="N489">
        <v>2</v>
      </c>
      <c r="O489">
        <v>261.56200000000001</v>
      </c>
      <c r="P489">
        <v>0.2</v>
      </c>
      <c r="Q489">
        <v>25</v>
      </c>
      <c r="R489">
        <v>1</v>
      </c>
      <c r="S489" t="s">
        <v>116</v>
      </c>
      <c r="T489">
        <v>1</v>
      </c>
      <c r="U489">
        <v>1</v>
      </c>
      <c r="V489">
        <v>0</v>
      </c>
      <c r="W489">
        <v>0</v>
      </c>
      <c r="X489">
        <v>0</v>
      </c>
      <c r="Y489" s="20">
        <f>SUM(Table1[[#This Row],[dty_type_cnt1]:[dty_type_cnt5]])</f>
        <v>2</v>
      </c>
    </row>
    <row r="490" spans="1:25" x14ac:dyDescent="0.25">
      <c r="A490" s="15">
        <v>46104</v>
      </c>
      <c r="B490" t="s">
        <v>430</v>
      </c>
      <c r="C490" t="s">
        <v>233</v>
      </c>
      <c r="D490" t="s">
        <v>46</v>
      </c>
      <c r="E490" t="s">
        <v>50</v>
      </c>
      <c r="F490" t="s">
        <v>51</v>
      </c>
      <c r="G490" t="s">
        <v>234</v>
      </c>
      <c r="H490" t="s">
        <v>235</v>
      </c>
      <c r="I490" t="s">
        <v>234</v>
      </c>
      <c r="J490" t="s">
        <v>0</v>
      </c>
      <c r="K490" t="s">
        <v>59</v>
      </c>
      <c r="L490">
        <v>27459</v>
      </c>
      <c r="M490">
        <v>40</v>
      </c>
      <c r="N490">
        <v>8</v>
      </c>
      <c r="O490">
        <v>902.06</v>
      </c>
      <c r="P490">
        <v>16.8</v>
      </c>
      <c r="Q490">
        <v>30</v>
      </c>
      <c r="R490">
        <v>4</v>
      </c>
      <c r="S490" t="s">
        <v>116</v>
      </c>
      <c r="T490">
        <v>4</v>
      </c>
      <c r="U490">
        <v>4</v>
      </c>
      <c r="V490">
        <v>0</v>
      </c>
      <c r="W490">
        <v>0</v>
      </c>
      <c r="X490">
        <v>0</v>
      </c>
      <c r="Y490" s="20">
        <f>SUM(Table1[[#This Row],[dty_type_cnt1]:[dty_type_cnt5]])</f>
        <v>8</v>
      </c>
    </row>
    <row r="491" spans="1:25" x14ac:dyDescent="0.25">
      <c r="A491" s="15">
        <v>46104</v>
      </c>
      <c r="B491" t="s">
        <v>430</v>
      </c>
      <c r="C491" t="s">
        <v>233</v>
      </c>
      <c r="D491" t="s">
        <v>46</v>
      </c>
      <c r="E491" t="s">
        <v>124</v>
      </c>
      <c r="F491" t="s">
        <v>125</v>
      </c>
      <c r="G491" t="s">
        <v>234</v>
      </c>
      <c r="H491" t="s">
        <v>235</v>
      </c>
      <c r="I491" t="s">
        <v>234</v>
      </c>
      <c r="J491" t="s">
        <v>0</v>
      </c>
      <c r="K491" t="s">
        <v>59</v>
      </c>
      <c r="L491">
        <v>27459</v>
      </c>
      <c r="M491">
        <v>30</v>
      </c>
      <c r="N491">
        <v>6</v>
      </c>
      <c r="O491">
        <v>614.89</v>
      </c>
      <c r="P491">
        <v>129.30000000000001</v>
      </c>
      <c r="Q491">
        <v>30</v>
      </c>
      <c r="R491">
        <v>3</v>
      </c>
      <c r="S491" t="s">
        <v>116</v>
      </c>
      <c r="T491">
        <v>3</v>
      </c>
      <c r="U491">
        <v>3</v>
      </c>
      <c r="V491">
        <v>0</v>
      </c>
      <c r="W491">
        <v>0</v>
      </c>
      <c r="X491">
        <v>0</v>
      </c>
      <c r="Y491" s="20">
        <f>SUM(Table1[[#This Row],[dty_type_cnt1]:[dty_type_cnt5]])</f>
        <v>6</v>
      </c>
    </row>
    <row r="492" spans="1:25" x14ac:dyDescent="0.25">
      <c r="A492" s="15">
        <v>46104</v>
      </c>
      <c r="B492" t="s">
        <v>430</v>
      </c>
      <c r="C492" t="s">
        <v>233</v>
      </c>
      <c r="D492" t="s">
        <v>46</v>
      </c>
      <c r="E492" t="s">
        <v>240</v>
      </c>
      <c r="F492" t="s">
        <v>241</v>
      </c>
      <c r="G492" t="s">
        <v>234</v>
      </c>
      <c r="H492" t="s">
        <v>235</v>
      </c>
      <c r="I492" t="s">
        <v>234</v>
      </c>
      <c r="J492" t="s">
        <v>0</v>
      </c>
      <c r="K492" t="s">
        <v>59</v>
      </c>
      <c r="L492">
        <v>27459</v>
      </c>
      <c r="M492">
        <v>73</v>
      </c>
      <c r="N492">
        <v>22</v>
      </c>
      <c r="O492">
        <v>1739.6759999999999</v>
      </c>
      <c r="P492">
        <v>480.2</v>
      </c>
      <c r="Q492">
        <v>20</v>
      </c>
      <c r="R492">
        <v>9</v>
      </c>
      <c r="S492" t="s">
        <v>116</v>
      </c>
      <c r="T492">
        <v>7</v>
      </c>
      <c r="U492">
        <v>9</v>
      </c>
      <c r="V492">
        <v>2</v>
      </c>
      <c r="W492">
        <v>0</v>
      </c>
      <c r="X492">
        <v>0</v>
      </c>
      <c r="Y492" s="20">
        <f>SUM(Table1[[#This Row],[dty_type_cnt1]:[dty_type_cnt5]])</f>
        <v>18</v>
      </c>
    </row>
    <row r="493" spans="1:25" x14ac:dyDescent="0.25">
      <c r="A493" s="15">
        <v>46104</v>
      </c>
      <c r="B493" t="s">
        <v>430</v>
      </c>
      <c r="C493" t="s">
        <v>233</v>
      </c>
      <c r="D493" t="s">
        <v>46</v>
      </c>
      <c r="E493" t="s">
        <v>242</v>
      </c>
      <c r="F493" t="s">
        <v>243</v>
      </c>
      <c r="G493" t="s">
        <v>234</v>
      </c>
      <c r="H493" t="s">
        <v>235</v>
      </c>
      <c r="I493" t="s">
        <v>234</v>
      </c>
      <c r="J493" t="s">
        <v>0</v>
      </c>
      <c r="K493" t="s">
        <v>59</v>
      </c>
      <c r="L493">
        <v>27459</v>
      </c>
      <c r="M493">
        <v>64</v>
      </c>
      <c r="N493">
        <v>12</v>
      </c>
      <c r="O493">
        <v>1231.0719999999999</v>
      </c>
      <c r="P493">
        <v>346.2</v>
      </c>
      <c r="Q493">
        <v>25</v>
      </c>
      <c r="R493">
        <v>6</v>
      </c>
      <c r="S493" t="s">
        <v>116</v>
      </c>
      <c r="T493">
        <v>6</v>
      </c>
      <c r="U493">
        <v>5</v>
      </c>
      <c r="V493">
        <v>1</v>
      </c>
      <c r="W493">
        <v>0</v>
      </c>
      <c r="X493">
        <v>0</v>
      </c>
      <c r="Y493" s="20">
        <f>SUM(Table1[[#This Row],[dty_type_cnt1]:[dty_type_cnt5]])</f>
        <v>12</v>
      </c>
    </row>
    <row r="494" spans="1:25" x14ac:dyDescent="0.25">
      <c r="A494" s="15">
        <v>46104</v>
      </c>
      <c r="B494" t="s">
        <v>430</v>
      </c>
      <c r="C494" t="s">
        <v>233</v>
      </c>
      <c r="D494" t="s">
        <v>176</v>
      </c>
      <c r="E494" t="s">
        <v>343</v>
      </c>
      <c r="F494" t="s">
        <v>344</v>
      </c>
      <c r="G494" t="s">
        <v>234</v>
      </c>
      <c r="H494" t="s">
        <v>235</v>
      </c>
      <c r="I494" t="s">
        <v>234</v>
      </c>
      <c r="J494" t="s">
        <v>76</v>
      </c>
      <c r="K494" t="s">
        <v>59</v>
      </c>
      <c r="L494">
        <v>27459</v>
      </c>
      <c r="M494">
        <v>15</v>
      </c>
      <c r="N494">
        <v>2</v>
      </c>
      <c r="O494">
        <v>216.333</v>
      </c>
      <c r="P494">
        <v>15.4</v>
      </c>
      <c r="Q494">
        <v>60</v>
      </c>
      <c r="R494">
        <v>1</v>
      </c>
      <c r="S494" t="s">
        <v>116</v>
      </c>
      <c r="T494">
        <v>1</v>
      </c>
      <c r="U494">
        <v>1</v>
      </c>
      <c r="V494">
        <v>0</v>
      </c>
      <c r="W494">
        <v>0</v>
      </c>
      <c r="X494">
        <v>0</v>
      </c>
      <c r="Y494" s="20">
        <f>SUM(Table1[[#This Row],[dty_type_cnt1]:[dty_type_cnt5]])</f>
        <v>2</v>
      </c>
    </row>
    <row r="495" spans="1:25" x14ac:dyDescent="0.25">
      <c r="A495" s="15">
        <v>46104</v>
      </c>
      <c r="B495" t="s">
        <v>430</v>
      </c>
      <c r="C495" t="s">
        <v>233</v>
      </c>
      <c r="D495" t="s">
        <v>176</v>
      </c>
      <c r="E495" t="s">
        <v>345</v>
      </c>
      <c r="F495" t="s">
        <v>346</v>
      </c>
      <c r="G495" t="s">
        <v>234</v>
      </c>
      <c r="H495" t="s">
        <v>235</v>
      </c>
      <c r="I495" t="s">
        <v>234</v>
      </c>
      <c r="J495" t="s">
        <v>76</v>
      </c>
      <c r="K495" t="s">
        <v>59</v>
      </c>
      <c r="L495">
        <v>27459</v>
      </c>
      <c r="M495">
        <v>13</v>
      </c>
      <c r="N495">
        <v>2</v>
      </c>
      <c r="O495">
        <v>194.01</v>
      </c>
      <c r="P495">
        <v>13.2</v>
      </c>
      <c r="Q495">
        <v>30</v>
      </c>
      <c r="R495">
        <v>1</v>
      </c>
      <c r="S495" t="s">
        <v>116</v>
      </c>
      <c r="T495">
        <v>1</v>
      </c>
      <c r="U495">
        <v>1</v>
      </c>
      <c r="V495">
        <v>0</v>
      </c>
      <c r="W495">
        <v>0</v>
      </c>
      <c r="X495">
        <v>0</v>
      </c>
      <c r="Y495" s="20">
        <f>SUM(Table1[[#This Row],[dty_type_cnt1]:[dty_type_cnt5]])</f>
        <v>2</v>
      </c>
    </row>
    <row r="496" spans="1:25" x14ac:dyDescent="0.25">
      <c r="A496" s="15">
        <v>46104</v>
      </c>
      <c r="B496" t="s">
        <v>430</v>
      </c>
      <c r="C496" t="s">
        <v>233</v>
      </c>
      <c r="D496" t="s">
        <v>176</v>
      </c>
      <c r="E496" t="s">
        <v>347</v>
      </c>
      <c r="F496" t="s">
        <v>348</v>
      </c>
      <c r="G496" t="s">
        <v>234</v>
      </c>
      <c r="H496" t="s">
        <v>235</v>
      </c>
      <c r="I496" t="s">
        <v>234</v>
      </c>
      <c r="J496" t="s">
        <v>76</v>
      </c>
      <c r="K496" t="s">
        <v>59</v>
      </c>
      <c r="L496">
        <v>27459</v>
      </c>
      <c r="M496">
        <v>19</v>
      </c>
      <c r="N496">
        <v>2</v>
      </c>
      <c r="O496">
        <v>207.16900000000001</v>
      </c>
      <c r="P496">
        <v>15.4</v>
      </c>
      <c r="Q496">
        <v>30</v>
      </c>
      <c r="R496">
        <v>1</v>
      </c>
      <c r="S496" t="s">
        <v>116</v>
      </c>
      <c r="T496">
        <v>2</v>
      </c>
      <c r="U496">
        <v>0</v>
      </c>
      <c r="V496">
        <v>1</v>
      </c>
      <c r="W496">
        <v>0</v>
      </c>
      <c r="X496">
        <v>0</v>
      </c>
      <c r="Y496" s="20">
        <f>SUM(Table1[[#This Row],[dty_type_cnt1]:[dty_type_cnt5]])</f>
        <v>3</v>
      </c>
    </row>
    <row r="497" spans="1:25" x14ac:dyDescent="0.25">
      <c r="A497" s="15">
        <v>46104</v>
      </c>
      <c r="B497" t="s">
        <v>430</v>
      </c>
      <c r="C497" t="s">
        <v>233</v>
      </c>
      <c r="D497" t="s">
        <v>176</v>
      </c>
      <c r="E497" t="s">
        <v>351</v>
      </c>
      <c r="F497" t="s">
        <v>352</v>
      </c>
      <c r="G497" t="s">
        <v>234</v>
      </c>
      <c r="H497" t="s">
        <v>235</v>
      </c>
      <c r="I497" t="s">
        <v>234</v>
      </c>
      <c r="J497" t="s">
        <v>76</v>
      </c>
      <c r="K497" t="s">
        <v>59</v>
      </c>
      <c r="L497">
        <v>27459</v>
      </c>
      <c r="M497">
        <v>22</v>
      </c>
      <c r="N497">
        <v>4</v>
      </c>
      <c r="O497">
        <v>728.827</v>
      </c>
      <c r="P497">
        <v>0.8</v>
      </c>
      <c r="Q497">
        <v>20</v>
      </c>
      <c r="R497">
        <v>2</v>
      </c>
      <c r="S497" t="s">
        <v>116</v>
      </c>
      <c r="T497">
        <v>3</v>
      </c>
      <c r="U497">
        <v>1</v>
      </c>
      <c r="V497">
        <v>1</v>
      </c>
      <c r="W497">
        <v>0</v>
      </c>
      <c r="X497">
        <v>0</v>
      </c>
      <c r="Y497" s="20">
        <f>SUM(Table1[[#This Row],[dty_type_cnt1]:[dty_type_cnt5]])</f>
        <v>5</v>
      </c>
    </row>
    <row r="498" spans="1:25" x14ac:dyDescent="0.25">
      <c r="A498" s="15">
        <v>46104</v>
      </c>
      <c r="B498" t="s">
        <v>430</v>
      </c>
      <c r="C498" t="s">
        <v>233</v>
      </c>
      <c r="D498" t="s">
        <v>54</v>
      </c>
      <c r="E498" t="s">
        <v>79</v>
      </c>
      <c r="F498" t="s">
        <v>113</v>
      </c>
      <c r="G498" t="s">
        <v>234</v>
      </c>
      <c r="H498" t="s">
        <v>235</v>
      </c>
      <c r="I498" t="s">
        <v>234</v>
      </c>
      <c r="J498" t="s">
        <v>0</v>
      </c>
      <c r="K498" t="s">
        <v>59</v>
      </c>
      <c r="L498">
        <v>27459</v>
      </c>
      <c r="M498">
        <v>46</v>
      </c>
      <c r="N498">
        <v>6</v>
      </c>
      <c r="O498">
        <v>429.46100000000001</v>
      </c>
      <c r="P498">
        <v>1.2</v>
      </c>
      <c r="Q498">
        <v>25</v>
      </c>
      <c r="R498">
        <v>3</v>
      </c>
      <c r="S498" t="s">
        <v>116</v>
      </c>
      <c r="T498">
        <v>4</v>
      </c>
      <c r="U498">
        <v>2</v>
      </c>
      <c r="V498">
        <v>1</v>
      </c>
      <c r="W498">
        <v>0</v>
      </c>
      <c r="X498">
        <v>0</v>
      </c>
      <c r="Y498" s="20">
        <f>SUM(Table1[[#This Row],[dty_type_cnt1]:[dty_type_cnt5]])</f>
        <v>7</v>
      </c>
    </row>
    <row r="499" spans="1:25" x14ac:dyDescent="0.25">
      <c r="A499" s="15">
        <v>46104</v>
      </c>
      <c r="B499" t="s">
        <v>430</v>
      </c>
      <c r="C499" t="s">
        <v>233</v>
      </c>
      <c r="D499" t="s">
        <v>54</v>
      </c>
      <c r="E499" t="s">
        <v>244</v>
      </c>
      <c r="F499" t="s">
        <v>245</v>
      </c>
      <c r="G499" t="s">
        <v>234</v>
      </c>
      <c r="H499" t="s">
        <v>235</v>
      </c>
      <c r="I499" t="s">
        <v>234</v>
      </c>
      <c r="J499" t="s">
        <v>0</v>
      </c>
      <c r="K499" t="s">
        <v>59</v>
      </c>
      <c r="L499">
        <v>27459</v>
      </c>
      <c r="M499">
        <v>101</v>
      </c>
      <c r="N499">
        <v>26</v>
      </c>
      <c r="O499">
        <v>2043.5889999999999</v>
      </c>
      <c r="P499">
        <v>439.3</v>
      </c>
      <c r="Q499">
        <v>20</v>
      </c>
      <c r="R499">
        <v>9</v>
      </c>
      <c r="S499" t="s">
        <v>116</v>
      </c>
      <c r="T499">
        <v>11</v>
      </c>
      <c r="U499">
        <v>5</v>
      </c>
      <c r="V499">
        <v>4</v>
      </c>
      <c r="W499">
        <v>0</v>
      </c>
      <c r="X499">
        <v>0</v>
      </c>
      <c r="Y499" s="20">
        <f>SUM(Table1[[#This Row],[dty_type_cnt1]:[dty_type_cnt5]])</f>
        <v>20</v>
      </c>
    </row>
    <row r="500" spans="1:25" x14ac:dyDescent="0.25">
      <c r="A500" s="15">
        <v>46104</v>
      </c>
      <c r="B500" t="s">
        <v>430</v>
      </c>
      <c r="C500" t="s">
        <v>233</v>
      </c>
      <c r="D500" t="s">
        <v>54</v>
      </c>
      <c r="E500" t="s">
        <v>246</v>
      </c>
      <c r="F500" t="s">
        <v>247</v>
      </c>
      <c r="G500" t="s">
        <v>234</v>
      </c>
      <c r="H500" t="s">
        <v>235</v>
      </c>
      <c r="I500" t="s">
        <v>234</v>
      </c>
      <c r="J500" t="s">
        <v>0</v>
      </c>
      <c r="K500" t="s">
        <v>59</v>
      </c>
      <c r="L500">
        <v>27459</v>
      </c>
      <c r="M500">
        <v>91</v>
      </c>
      <c r="N500">
        <v>14</v>
      </c>
      <c r="O500">
        <v>799.42600000000004</v>
      </c>
      <c r="P500">
        <v>221.21</v>
      </c>
      <c r="Q500">
        <v>10</v>
      </c>
      <c r="R500">
        <v>5</v>
      </c>
      <c r="S500" t="s">
        <v>116</v>
      </c>
      <c r="T500">
        <v>5</v>
      </c>
      <c r="U500">
        <v>5</v>
      </c>
      <c r="V500">
        <v>0</v>
      </c>
      <c r="W500">
        <v>0</v>
      </c>
      <c r="X500">
        <v>0</v>
      </c>
      <c r="Y500" s="20">
        <f>SUM(Table1[[#This Row],[dty_type_cnt1]:[dty_type_cnt5]])</f>
        <v>10</v>
      </c>
    </row>
    <row r="501" spans="1:25" x14ac:dyDescent="0.25">
      <c r="A501" s="15">
        <v>46104</v>
      </c>
      <c r="B501" t="s">
        <v>430</v>
      </c>
      <c r="C501" t="s">
        <v>233</v>
      </c>
      <c r="D501" t="s">
        <v>54</v>
      </c>
      <c r="E501" t="s">
        <v>132</v>
      </c>
      <c r="F501" t="s">
        <v>133</v>
      </c>
      <c r="G501" t="s">
        <v>234</v>
      </c>
      <c r="H501" t="s">
        <v>235</v>
      </c>
      <c r="I501" t="s">
        <v>234</v>
      </c>
      <c r="J501" t="s">
        <v>0</v>
      </c>
      <c r="K501" t="s">
        <v>59</v>
      </c>
      <c r="L501">
        <v>27459</v>
      </c>
      <c r="M501">
        <v>38</v>
      </c>
      <c r="N501">
        <v>4</v>
      </c>
      <c r="O501">
        <v>253.11799999999999</v>
      </c>
      <c r="P501">
        <v>0.8</v>
      </c>
      <c r="Q501">
        <v>20</v>
      </c>
      <c r="R501">
        <v>2</v>
      </c>
      <c r="S501" t="s">
        <v>116</v>
      </c>
      <c r="T501">
        <v>2</v>
      </c>
      <c r="U501">
        <v>2</v>
      </c>
      <c r="V501">
        <v>0</v>
      </c>
      <c r="W501">
        <v>0</v>
      </c>
      <c r="X501">
        <v>0</v>
      </c>
      <c r="Y501" s="20">
        <f>SUM(Table1[[#This Row],[dty_type_cnt1]:[dty_type_cnt5]])</f>
        <v>4</v>
      </c>
    </row>
    <row r="502" spans="1:25" x14ac:dyDescent="0.25">
      <c r="A502" s="15">
        <v>46104</v>
      </c>
      <c r="B502" t="s">
        <v>430</v>
      </c>
      <c r="C502" t="s">
        <v>233</v>
      </c>
      <c r="D502" t="s">
        <v>54</v>
      </c>
      <c r="E502" t="s">
        <v>248</v>
      </c>
      <c r="F502" t="s">
        <v>249</v>
      </c>
      <c r="G502" t="s">
        <v>234</v>
      </c>
      <c r="H502" t="s">
        <v>235</v>
      </c>
      <c r="I502" t="s">
        <v>234</v>
      </c>
      <c r="J502" t="s">
        <v>0</v>
      </c>
      <c r="K502" t="s">
        <v>59</v>
      </c>
      <c r="L502">
        <v>27459</v>
      </c>
      <c r="M502">
        <v>47</v>
      </c>
      <c r="N502">
        <v>12</v>
      </c>
      <c r="O502">
        <v>658.56399999999996</v>
      </c>
      <c r="P502">
        <v>182.5</v>
      </c>
      <c r="Q502">
        <v>20</v>
      </c>
      <c r="R502">
        <v>5</v>
      </c>
      <c r="S502" t="s">
        <v>116</v>
      </c>
      <c r="T502">
        <v>4</v>
      </c>
      <c r="U502">
        <v>3</v>
      </c>
      <c r="V502">
        <v>2</v>
      </c>
      <c r="W502">
        <v>0</v>
      </c>
      <c r="X502">
        <v>0</v>
      </c>
      <c r="Y502" s="20">
        <f>SUM(Table1[[#This Row],[dty_type_cnt1]:[dty_type_cnt5]])</f>
        <v>9</v>
      </c>
    </row>
    <row r="503" spans="1:25" x14ac:dyDescent="0.25">
      <c r="A503" s="15">
        <v>46104</v>
      </c>
      <c r="B503" t="s">
        <v>430</v>
      </c>
      <c r="C503" t="s">
        <v>233</v>
      </c>
      <c r="D503" t="s">
        <v>49</v>
      </c>
      <c r="E503" t="s">
        <v>250</v>
      </c>
      <c r="F503" t="s">
        <v>251</v>
      </c>
      <c r="G503" t="s">
        <v>234</v>
      </c>
      <c r="H503" t="s">
        <v>235</v>
      </c>
      <c r="I503" t="s">
        <v>234</v>
      </c>
      <c r="J503" t="s">
        <v>0</v>
      </c>
      <c r="K503" t="s">
        <v>59</v>
      </c>
      <c r="L503">
        <v>27459</v>
      </c>
      <c r="M503">
        <v>38</v>
      </c>
      <c r="N503">
        <v>10</v>
      </c>
      <c r="O503">
        <v>879.18700000000001</v>
      </c>
      <c r="P503">
        <v>162.19999999999999</v>
      </c>
      <c r="Q503">
        <v>15</v>
      </c>
      <c r="R503">
        <v>4</v>
      </c>
      <c r="S503" t="s">
        <v>116</v>
      </c>
      <c r="T503">
        <v>6</v>
      </c>
      <c r="U503">
        <v>5</v>
      </c>
      <c r="V503">
        <v>1</v>
      </c>
      <c r="W503">
        <v>0</v>
      </c>
      <c r="X503">
        <v>0</v>
      </c>
      <c r="Y503" s="20">
        <f>SUM(Table1[[#This Row],[dty_type_cnt1]:[dty_type_cnt5]])</f>
        <v>12</v>
      </c>
    </row>
    <row r="504" spans="1:25" x14ac:dyDescent="0.25">
      <c r="A504" s="15">
        <v>46104</v>
      </c>
      <c r="B504" t="s">
        <v>430</v>
      </c>
      <c r="C504" t="s">
        <v>233</v>
      </c>
      <c r="D504" t="s">
        <v>49</v>
      </c>
      <c r="E504" t="s">
        <v>252</v>
      </c>
      <c r="F504" t="s">
        <v>253</v>
      </c>
      <c r="G504" t="s">
        <v>234</v>
      </c>
      <c r="H504" t="s">
        <v>235</v>
      </c>
      <c r="I504" t="s">
        <v>234</v>
      </c>
      <c r="J504" t="s">
        <v>0</v>
      </c>
      <c r="K504" t="s">
        <v>59</v>
      </c>
      <c r="L504">
        <v>27459</v>
      </c>
      <c r="M504">
        <v>51</v>
      </c>
      <c r="N504">
        <v>46</v>
      </c>
      <c r="O504">
        <v>1770.7190000000001</v>
      </c>
      <c r="P504">
        <v>578.1</v>
      </c>
      <c r="Q504">
        <v>10</v>
      </c>
      <c r="R504">
        <v>11</v>
      </c>
      <c r="S504" t="s">
        <v>116</v>
      </c>
      <c r="T504">
        <v>11</v>
      </c>
      <c r="U504">
        <v>7</v>
      </c>
      <c r="V504">
        <v>5</v>
      </c>
      <c r="W504">
        <v>0</v>
      </c>
      <c r="X504">
        <v>0</v>
      </c>
      <c r="Y504" s="20">
        <f>SUM(Table1[[#This Row],[dty_type_cnt1]:[dty_type_cnt5]])</f>
        <v>23</v>
      </c>
    </row>
    <row r="505" spans="1:25" x14ac:dyDescent="0.25">
      <c r="A505" s="15">
        <v>46104</v>
      </c>
      <c r="B505" t="s">
        <v>430</v>
      </c>
      <c r="C505" t="s">
        <v>233</v>
      </c>
      <c r="D505" t="s">
        <v>49</v>
      </c>
      <c r="E505" t="s">
        <v>254</v>
      </c>
      <c r="F505" t="s">
        <v>255</v>
      </c>
      <c r="G505" t="s">
        <v>234</v>
      </c>
      <c r="H505" t="s">
        <v>235</v>
      </c>
      <c r="I505" t="s">
        <v>234</v>
      </c>
      <c r="J505" t="s">
        <v>0</v>
      </c>
      <c r="K505" t="s">
        <v>59</v>
      </c>
      <c r="L505">
        <v>27459</v>
      </c>
      <c r="M505">
        <v>12</v>
      </c>
      <c r="N505">
        <v>4</v>
      </c>
      <c r="O505">
        <v>348.42599999999999</v>
      </c>
      <c r="P505">
        <v>64.599999999999994</v>
      </c>
      <c r="Q505">
        <v>30</v>
      </c>
      <c r="R505">
        <v>3</v>
      </c>
      <c r="S505" t="s">
        <v>116</v>
      </c>
      <c r="T505">
        <v>0</v>
      </c>
      <c r="U505">
        <v>1</v>
      </c>
      <c r="V505">
        <v>0</v>
      </c>
      <c r="W505">
        <v>0</v>
      </c>
      <c r="X505">
        <v>0</v>
      </c>
      <c r="Y505" s="20">
        <f>SUM(Table1[[#This Row],[dty_type_cnt1]:[dty_type_cnt5]])</f>
        <v>1</v>
      </c>
    </row>
    <row r="506" spans="1:25" x14ac:dyDescent="0.25">
      <c r="A506" s="15">
        <v>46104</v>
      </c>
      <c r="B506" t="s">
        <v>430</v>
      </c>
      <c r="C506" t="s">
        <v>256</v>
      </c>
      <c r="D506" t="s">
        <v>46</v>
      </c>
      <c r="E506">
        <v>7</v>
      </c>
      <c r="F506" t="s">
        <v>257</v>
      </c>
      <c r="G506" t="s">
        <v>258</v>
      </c>
      <c r="H506" t="s">
        <v>259</v>
      </c>
      <c r="J506" t="s">
        <v>156</v>
      </c>
      <c r="K506" t="s">
        <v>1</v>
      </c>
      <c r="L506">
        <v>27453</v>
      </c>
      <c r="M506">
        <v>105</v>
      </c>
      <c r="N506">
        <v>28</v>
      </c>
      <c r="O506">
        <v>1798.665</v>
      </c>
      <c r="P506">
        <v>167.6</v>
      </c>
      <c r="Q506">
        <v>15</v>
      </c>
      <c r="R506">
        <v>10</v>
      </c>
      <c r="S506" t="s">
        <v>116</v>
      </c>
      <c r="T506">
        <v>10</v>
      </c>
      <c r="U506">
        <v>8</v>
      </c>
      <c r="V506">
        <v>2</v>
      </c>
      <c r="W506">
        <v>0</v>
      </c>
      <c r="X506">
        <v>0</v>
      </c>
      <c r="Y506" s="20">
        <f>SUM(Table1[[#This Row],[dty_type_cnt1]:[dty_type_cnt5]])</f>
        <v>20</v>
      </c>
    </row>
    <row r="507" spans="1:25" x14ac:dyDescent="0.25">
      <c r="A507" s="15">
        <v>46105</v>
      </c>
      <c r="B507" t="s">
        <v>430</v>
      </c>
      <c r="C507" t="s">
        <v>256</v>
      </c>
      <c r="D507" t="s">
        <v>46</v>
      </c>
      <c r="E507">
        <v>9</v>
      </c>
      <c r="F507" t="s">
        <v>260</v>
      </c>
      <c r="G507" t="s">
        <v>258</v>
      </c>
      <c r="H507" t="s">
        <v>259</v>
      </c>
      <c r="J507" t="s">
        <v>156</v>
      </c>
      <c r="K507" t="s">
        <v>1</v>
      </c>
      <c r="L507">
        <v>27453</v>
      </c>
      <c r="M507">
        <v>140</v>
      </c>
      <c r="N507">
        <v>14</v>
      </c>
      <c r="O507">
        <v>1653.335</v>
      </c>
      <c r="P507">
        <v>229.9</v>
      </c>
      <c r="Q507">
        <v>17</v>
      </c>
      <c r="R507">
        <v>7</v>
      </c>
      <c r="S507" t="s">
        <v>116</v>
      </c>
      <c r="T507">
        <v>11</v>
      </c>
      <c r="U507">
        <v>3</v>
      </c>
      <c r="V507">
        <v>4</v>
      </c>
      <c r="W507">
        <v>0</v>
      </c>
      <c r="X507">
        <v>0</v>
      </c>
      <c r="Y507" s="20">
        <f>SUM(Table1[[#This Row],[dty_type_cnt1]:[dty_type_cnt5]])</f>
        <v>18</v>
      </c>
    </row>
    <row r="508" spans="1:25" x14ac:dyDescent="0.25">
      <c r="A508" s="15">
        <v>46105</v>
      </c>
      <c r="B508" t="s">
        <v>430</v>
      </c>
      <c r="C508" t="s">
        <v>256</v>
      </c>
      <c r="D508" t="s">
        <v>46</v>
      </c>
      <c r="E508">
        <v>10</v>
      </c>
      <c r="F508" t="s">
        <v>261</v>
      </c>
      <c r="G508" t="s">
        <v>258</v>
      </c>
      <c r="H508" t="s">
        <v>259</v>
      </c>
      <c r="J508" t="s">
        <v>156</v>
      </c>
      <c r="K508" t="s">
        <v>1</v>
      </c>
      <c r="L508">
        <v>27453</v>
      </c>
      <c r="M508">
        <v>54</v>
      </c>
      <c r="N508">
        <v>8</v>
      </c>
      <c r="O508">
        <v>1369.9960000000001</v>
      </c>
      <c r="P508">
        <v>78.3</v>
      </c>
      <c r="Q508">
        <v>25</v>
      </c>
      <c r="R508">
        <v>4</v>
      </c>
      <c r="S508" t="s">
        <v>116</v>
      </c>
      <c r="T508">
        <v>5</v>
      </c>
      <c r="U508">
        <v>3</v>
      </c>
      <c r="V508">
        <v>1</v>
      </c>
      <c r="W508">
        <v>0</v>
      </c>
      <c r="X508">
        <v>0</v>
      </c>
      <c r="Y508" s="20">
        <f>SUM(Table1[[#This Row],[dty_type_cnt1]:[dty_type_cnt5]])</f>
        <v>9</v>
      </c>
    </row>
    <row r="509" spans="1:25" x14ac:dyDescent="0.25">
      <c r="A509" s="15">
        <v>46105</v>
      </c>
      <c r="B509" t="s">
        <v>430</v>
      </c>
      <c r="C509" t="s">
        <v>256</v>
      </c>
      <c r="D509" t="s">
        <v>406</v>
      </c>
      <c r="E509">
        <v>105</v>
      </c>
      <c r="F509" t="s">
        <v>263</v>
      </c>
      <c r="G509" t="s">
        <v>258</v>
      </c>
      <c r="H509" t="s">
        <v>259</v>
      </c>
      <c r="J509" t="s">
        <v>156</v>
      </c>
      <c r="K509" t="s">
        <v>1</v>
      </c>
      <c r="L509">
        <v>27453</v>
      </c>
      <c r="M509">
        <v>46</v>
      </c>
      <c r="N509">
        <v>6</v>
      </c>
      <c r="O509">
        <v>521.64</v>
      </c>
      <c r="P509">
        <v>38.4</v>
      </c>
      <c r="Q509">
        <v>30</v>
      </c>
      <c r="R509">
        <v>3</v>
      </c>
      <c r="S509" t="s">
        <v>116</v>
      </c>
      <c r="T509">
        <v>3</v>
      </c>
      <c r="U509">
        <v>3</v>
      </c>
      <c r="V509">
        <v>0</v>
      </c>
      <c r="W509">
        <v>0</v>
      </c>
      <c r="X509">
        <v>0</v>
      </c>
      <c r="Y509" s="20">
        <f>SUM(Table1[[#This Row],[dty_type_cnt1]:[dty_type_cnt5]])</f>
        <v>6</v>
      </c>
    </row>
    <row r="510" spans="1:25" x14ac:dyDescent="0.25">
      <c r="A510" s="15">
        <v>46105</v>
      </c>
      <c r="B510" t="s">
        <v>430</v>
      </c>
      <c r="C510" t="s">
        <v>256</v>
      </c>
      <c r="D510" t="s">
        <v>46</v>
      </c>
      <c r="E510">
        <v>110</v>
      </c>
      <c r="F510" t="s">
        <v>264</v>
      </c>
      <c r="G510" t="s">
        <v>258</v>
      </c>
      <c r="H510" t="s">
        <v>259</v>
      </c>
      <c r="J510" t="s">
        <v>156</v>
      </c>
      <c r="K510" t="s">
        <v>1</v>
      </c>
      <c r="L510">
        <v>27453</v>
      </c>
      <c r="M510">
        <v>72</v>
      </c>
      <c r="N510">
        <v>2</v>
      </c>
      <c r="O510">
        <v>215.49600000000001</v>
      </c>
      <c r="P510">
        <v>10.3</v>
      </c>
      <c r="Q510">
        <v>30</v>
      </c>
      <c r="R510">
        <v>1</v>
      </c>
      <c r="S510" t="s">
        <v>116</v>
      </c>
      <c r="T510">
        <v>1</v>
      </c>
      <c r="U510">
        <v>1</v>
      </c>
      <c r="V510">
        <v>0</v>
      </c>
      <c r="W510">
        <v>0</v>
      </c>
      <c r="X510">
        <v>0</v>
      </c>
      <c r="Y510" s="20">
        <f>SUM(Table1[[#This Row],[dty_type_cnt1]:[dty_type_cnt5]])</f>
        <v>2</v>
      </c>
    </row>
    <row r="511" spans="1:25" x14ac:dyDescent="0.25">
      <c r="A511" s="15">
        <v>46105</v>
      </c>
      <c r="B511" t="s">
        <v>430</v>
      </c>
      <c r="C511" t="s">
        <v>256</v>
      </c>
      <c r="D511" t="s">
        <v>46</v>
      </c>
      <c r="E511">
        <v>12</v>
      </c>
      <c r="F511" t="s">
        <v>265</v>
      </c>
      <c r="G511" t="s">
        <v>258</v>
      </c>
      <c r="H511" t="s">
        <v>259</v>
      </c>
      <c r="J511" t="s">
        <v>156</v>
      </c>
      <c r="K511" t="s">
        <v>1</v>
      </c>
      <c r="L511">
        <v>27453</v>
      </c>
      <c r="M511">
        <v>81</v>
      </c>
      <c r="N511">
        <v>16</v>
      </c>
      <c r="O511">
        <v>2281.2750000000001</v>
      </c>
      <c r="P511">
        <v>145.5</v>
      </c>
      <c r="Q511">
        <v>25</v>
      </c>
      <c r="R511">
        <v>8</v>
      </c>
      <c r="S511" t="s">
        <v>116</v>
      </c>
      <c r="T511">
        <v>10</v>
      </c>
      <c r="U511">
        <v>6</v>
      </c>
      <c r="V511">
        <v>3</v>
      </c>
      <c r="W511">
        <v>0</v>
      </c>
      <c r="X511">
        <v>0</v>
      </c>
      <c r="Y511" s="20">
        <f>SUM(Table1[[#This Row],[dty_type_cnt1]:[dty_type_cnt5]])</f>
        <v>19</v>
      </c>
    </row>
    <row r="512" spans="1:25" x14ac:dyDescent="0.25">
      <c r="A512" s="15">
        <v>46105</v>
      </c>
      <c r="B512" t="s">
        <v>430</v>
      </c>
      <c r="C512" t="s">
        <v>256</v>
      </c>
      <c r="D512" t="s">
        <v>46</v>
      </c>
      <c r="E512">
        <v>14</v>
      </c>
      <c r="F512" t="s">
        <v>317</v>
      </c>
      <c r="G512" t="s">
        <v>258</v>
      </c>
      <c r="H512" t="s">
        <v>259</v>
      </c>
      <c r="J512" t="s">
        <v>0</v>
      </c>
      <c r="K512" t="s">
        <v>1</v>
      </c>
      <c r="L512">
        <v>27453</v>
      </c>
      <c r="M512">
        <v>52</v>
      </c>
      <c r="N512">
        <v>8</v>
      </c>
      <c r="O512">
        <v>685.12599999999998</v>
      </c>
      <c r="P512">
        <v>0.8</v>
      </c>
      <c r="Q512">
        <v>20</v>
      </c>
      <c r="R512">
        <v>4</v>
      </c>
      <c r="S512" t="s">
        <v>116</v>
      </c>
      <c r="T512">
        <v>4</v>
      </c>
      <c r="U512">
        <v>3</v>
      </c>
      <c r="V512">
        <v>1</v>
      </c>
      <c r="W512">
        <v>0</v>
      </c>
      <c r="X512">
        <v>0</v>
      </c>
      <c r="Y512" s="20">
        <f>SUM(Table1[[#This Row],[dty_type_cnt1]:[dty_type_cnt5]])</f>
        <v>8</v>
      </c>
    </row>
    <row r="513" spans="1:25" x14ac:dyDescent="0.25">
      <c r="A513" s="15">
        <v>46105</v>
      </c>
      <c r="B513" t="s">
        <v>430</v>
      </c>
      <c r="C513" t="s">
        <v>256</v>
      </c>
      <c r="D513" t="s">
        <v>46</v>
      </c>
      <c r="E513">
        <v>15</v>
      </c>
      <c r="F513" t="s">
        <v>266</v>
      </c>
      <c r="G513" t="s">
        <v>258</v>
      </c>
      <c r="H513" t="s">
        <v>259</v>
      </c>
      <c r="J513" t="s">
        <v>156</v>
      </c>
      <c r="K513" t="s">
        <v>1</v>
      </c>
      <c r="L513">
        <v>27453</v>
      </c>
      <c r="M513">
        <v>94</v>
      </c>
      <c r="N513">
        <v>26</v>
      </c>
      <c r="O513">
        <v>2212.4250000000002</v>
      </c>
      <c r="P513">
        <v>238.5</v>
      </c>
      <c r="Q513">
        <v>15</v>
      </c>
      <c r="R513">
        <v>13</v>
      </c>
      <c r="S513" t="s">
        <v>116</v>
      </c>
      <c r="T513">
        <v>8</v>
      </c>
      <c r="U513">
        <v>12</v>
      </c>
      <c r="V513">
        <v>1</v>
      </c>
      <c r="W513">
        <v>0</v>
      </c>
      <c r="X513">
        <v>0</v>
      </c>
      <c r="Y513" s="20">
        <f>SUM(Table1[[#This Row],[dty_type_cnt1]:[dty_type_cnt5]])</f>
        <v>21</v>
      </c>
    </row>
    <row r="514" spans="1:25" x14ac:dyDescent="0.25">
      <c r="A514" s="15">
        <v>46105</v>
      </c>
      <c r="B514" t="s">
        <v>430</v>
      </c>
      <c r="C514" t="s">
        <v>256</v>
      </c>
      <c r="D514" t="s">
        <v>46</v>
      </c>
      <c r="E514" t="s">
        <v>267</v>
      </c>
      <c r="F514" t="s">
        <v>268</v>
      </c>
      <c r="G514" t="s">
        <v>258</v>
      </c>
      <c r="H514" t="s">
        <v>259</v>
      </c>
      <c r="J514" t="s">
        <v>156</v>
      </c>
      <c r="K514" t="s">
        <v>1</v>
      </c>
      <c r="L514">
        <v>27453</v>
      </c>
      <c r="M514">
        <v>52</v>
      </c>
      <c r="N514">
        <v>16</v>
      </c>
      <c r="O514">
        <v>1028.82</v>
      </c>
      <c r="P514">
        <v>176.7</v>
      </c>
      <c r="Q514">
        <v>0</v>
      </c>
      <c r="R514">
        <v>5</v>
      </c>
      <c r="S514" t="s">
        <v>116</v>
      </c>
      <c r="T514">
        <v>3</v>
      </c>
      <c r="U514">
        <v>3</v>
      </c>
      <c r="V514">
        <v>1</v>
      </c>
      <c r="W514">
        <v>0</v>
      </c>
      <c r="X514">
        <v>0</v>
      </c>
      <c r="Y514" s="20">
        <f>SUM(Table1[[#This Row],[dty_type_cnt1]:[dty_type_cnt5]])</f>
        <v>7</v>
      </c>
    </row>
    <row r="515" spans="1:25" x14ac:dyDescent="0.25">
      <c r="A515" s="15">
        <v>46105</v>
      </c>
      <c r="B515" t="s">
        <v>430</v>
      </c>
      <c r="C515" t="s">
        <v>256</v>
      </c>
      <c r="D515" t="s">
        <v>46</v>
      </c>
      <c r="E515" t="s">
        <v>269</v>
      </c>
      <c r="F515" t="s">
        <v>265</v>
      </c>
      <c r="G515" t="s">
        <v>258</v>
      </c>
      <c r="H515" t="s">
        <v>259</v>
      </c>
      <c r="J515" t="s">
        <v>0</v>
      </c>
      <c r="K515" t="s">
        <v>1</v>
      </c>
      <c r="L515">
        <v>27453</v>
      </c>
      <c r="M515">
        <v>52</v>
      </c>
      <c r="N515">
        <v>16</v>
      </c>
      <c r="O515">
        <v>1301.7159999999999</v>
      </c>
      <c r="P515">
        <v>198.5</v>
      </c>
      <c r="Q515">
        <v>15</v>
      </c>
      <c r="R515">
        <v>8</v>
      </c>
      <c r="S515" t="s">
        <v>116</v>
      </c>
      <c r="T515">
        <v>8</v>
      </c>
      <c r="U515">
        <v>7</v>
      </c>
      <c r="V515">
        <v>3</v>
      </c>
      <c r="W515">
        <v>0</v>
      </c>
      <c r="X515">
        <v>0</v>
      </c>
      <c r="Y515" s="20">
        <f>SUM(Table1[[#This Row],[dty_type_cnt1]:[dty_type_cnt5]])</f>
        <v>18</v>
      </c>
    </row>
    <row r="516" spans="1:25" x14ac:dyDescent="0.25">
      <c r="A516" s="15">
        <v>46105</v>
      </c>
      <c r="B516" t="s">
        <v>430</v>
      </c>
      <c r="C516" t="s">
        <v>256</v>
      </c>
      <c r="D516" t="s">
        <v>46</v>
      </c>
      <c r="E516">
        <v>23</v>
      </c>
      <c r="F516" t="s">
        <v>318</v>
      </c>
      <c r="G516" t="s">
        <v>258</v>
      </c>
      <c r="H516" t="s">
        <v>259</v>
      </c>
      <c r="J516" t="s">
        <v>0</v>
      </c>
      <c r="K516" t="s">
        <v>1</v>
      </c>
      <c r="L516">
        <v>27453</v>
      </c>
      <c r="M516">
        <v>29</v>
      </c>
      <c r="N516">
        <v>6</v>
      </c>
      <c r="O516">
        <v>681.85400000000004</v>
      </c>
      <c r="P516">
        <v>0.6</v>
      </c>
      <c r="Q516">
        <v>30</v>
      </c>
      <c r="R516">
        <v>3</v>
      </c>
      <c r="S516" t="s">
        <v>116</v>
      </c>
      <c r="T516">
        <v>3</v>
      </c>
      <c r="U516">
        <v>3</v>
      </c>
      <c r="V516">
        <v>0</v>
      </c>
      <c r="W516">
        <v>0</v>
      </c>
      <c r="X516">
        <v>0</v>
      </c>
      <c r="Y516" s="20">
        <f>SUM(Table1[[#This Row],[dty_type_cnt1]:[dty_type_cnt5]])</f>
        <v>6</v>
      </c>
    </row>
    <row r="517" spans="1:25" x14ac:dyDescent="0.25">
      <c r="A517" s="15">
        <v>46105</v>
      </c>
      <c r="B517" t="s">
        <v>430</v>
      </c>
      <c r="C517" t="s">
        <v>256</v>
      </c>
      <c r="D517" t="s">
        <v>46</v>
      </c>
      <c r="E517">
        <v>27</v>
      </c>
      <c r="F517" t="s">
        <v>270</v>
      </c>
      <c r="G517" t="s">
        <v>258</v>
      </c>
      <c r="H517" t="s">
        <v>259</v>
      </c>
      <c r="J517" t="s">
        <v>156</v>
      </c>
      <c r="K517" t="s">
        <v>1</v>
      </c>
      <c r="L517">
        <v>27453</v>
      </c>
      <c r="M517">
        <v>12</v>
      </c>
      <c r="N517">
        <v>4</v>
      </c>
      <c r="O517">
        <v>239.94</v>
      </c>
      <c r="P517">
        <v>99.6</v>
      </c>
      <c r="Q517">
        <v>60</v>
      </c>
      <c r="R517">
        <v>2</v>
      </c>
      <c r="S517" t="s">
        <v>116</v>
      </c>
      <c r="T517">
        <v>1</v>
      </c>
      <c r="U517">
        <v>0</v>
      </c>
      <c r="V517">
        <v>2</v>
      </c>
      <c r="W517">
        <v>0</v>
      </c>
      <c r="X517">
        <v>0</v>
      </c>
      <c r="Y517" s="20">
        <f>SUM(Table1[[#This Row],[dty_type_cnt1]:[dty_type_cnt5]])</f>
        <v>3</v>
      </c>
    </row>
    <row r="518" spans="1:25" x14ac:dyDescent="0.25">
      <c r="A518" s="15">
        <v>46105</v>
      </c>
      <c r="B518" t="s">
        <v>430</v>
      </c>
      <c r="C518" t="s">
        <v>256</v>
      </c>
      <c r="D518" t="s">
        <v>46</v>
      </c>
      <c r="E518">
        <v>28</v>
      </c>
      <c r="F518" t="s">
        <v>376</v>
      </c>
      <c r="G518" t="s">
        <v>258</v>
      </c>
      <c r="H518" t="s">
        <v>259</v>
      </c>
      <c r="J518" t="s">
        <v>0</v>
      </c>
      <c r="K518" t="s">
        <v>1</v>
      </c>
      <c r="L518">
        <v>27453</v>
      </c>
      <c r="M518">
        <v>16</v>
      </c>
      <c r="N518">
        <v>2</v>
      </c>
      <c r="O518">
        <v>222.904</v>
      </c>
      <c r="P518">
        <v>0.2</v>
      </c>
      <c r="Q518">
        <v>77</v>
      </c>
      <c r="R518">
        <v>1</v>
      </c>
      <c r="S518" t="s">
        <v>116</v>
      </c>
      <c r="T518">
        <v>1</v>
      </c>
      <c r="U518">
        <v>1</v>
      </c>
      <c r="V518">
        <v>1</v>
      </c>
      <c r="W518">
        <v>0</v>
      </c>
      <c r="X518">
        <v>0</v>
      </c>
      <c r="Y518" s="20">
        <f>SUM(Table1[[#This Row],[dty_type_cnt1]:[dty_type_cnt5]])</f>
        <v>3</v>
      </c>
    </row>
    <row r="519" spans="1:25" x14ac:dyDescent="0.25">
      <c r="A519" s="15">
        <v>46105</v>
      </c>
      <c r="B519" t="s">
        <v>430</v>
      </c>
      <c r="C519" t="s">
        <v>256</v>
      </c>
      <c r="D519" t="s">
        <v>46</v>
      </c>
      <c r="E519">
        <v>29</v>
      </c>
      <c r="F519" t="s">
        <v>271</v>
      </c>
      <c r="G519" t="s">
        <v>258</v>
      </c>
      <c r="H519" t="s">
        <v>259</v>
      </c>
      <c r="J519" t="s">
        <v>156</v>
      </c>
      <c r="K519" t="s">
        <v>1</v>
      </c>
      <c r="L519">
        <v>27453</v>
      </c>
      <c r="M519">
        <v>71</v>
      </c>
      <c r="N519">
        <v>13</v>
      </c>
      <c r="O519">
        <v>956.32600000000002</v>
      </c>
      <c r="P519">
        <v>136.30000000000001</v>
      </c>
      <c r="Q519">
        <v>25</v>
      </c>
      <c r="R519">
        <v>5</v>
      </c>
      <c r="S519" t="s">
        <v>116</v>
      </c>
      <c r="T519">
        <v>6</v>
      </c>
      <c r="U519">
        <v>6</v>
      </c>
      <c r="V519">
        <v>1</v>
      </c>
      <c r="W519">
        <v>0</v>
      </c>
      <c r="X519">
        <v>0</v>
      </c>
      <c r="Y519" s="20">
        <f>SUM(Table1[[#This Row],[dty_type_cnt1]:[dty_type_cnt5]])</f>
        <v>13</v>
      </c>
    </row>
    <row r="520" spans="1:25" x14ac:dyDescent="0.25">
      <c r="A520" s="15">
        <v>46105</v>
      </c>
      <c r="B520" t="s">
        <v>430</v>
      </c>
      <c r="C520" t="s">
        <v>256</v>
      </c>
      <c r="D520" t="s">
        <v>46</v>
      </c>
      <c r="E520">
        <v>33</v>
      </c>
      <c r="F520" t="s">
        <v>238</v>
      </c>
      <c r="G520" t="s">
        <v>258</v>
      </c>
      <c r="H520" t="s">
        <v>259</v>
      </c>
      <c r="J520" t="s">
        <v>0</v>
      </c>
      <c r="K520" t="s">
        <v>1</v>
      </c>
      <c r="L520">
        <v>27453</v>
      </c>
      <c r="M520">
        <v>30</v>
      </c>
      <c r="N520">
        <v>6</v>
      </c>
      <c r="O520">
        <v>841.66499999999996</v>
      </c>
      <c r="P520">
        <v>19.5</v>
      </c>
      <c r="Q520">
        <v>25</v>
      </c>
      <c r="R520">
        <v>3</v>
      </c>
      <c r="S520" t="s">
        <v>116</v>
      </c>
      <c r="T520">
        <v>3</v>
      </c>
      <c r="U520">
        <v>3</v>
      </c>
      <c r="V520">
        <v>0</v>
      </c>
      <c r="W520">
        <v>0</v>
      </c>
      <c r="X520">
        <v>0</v>
      </c>
      <c r="Y520" s="20">
        <f>SUM(Table1[[#This Row],[dty_type_cnt1]:[dty_type_cnt5]])</f>
        <v>6</v>
      </c>
    </row>
    <row r="521" spans="1:25" x14ac:dyDescent="0.25">
      <c r="A521" s="15">
        <v>46105</v>
      </c>
      <c r="B521" t="s">
        <v>430</v>
      </c>
      <c r="C521" t="s">
        <v>256</v>
      </c>
      <c r="D521" t="s">
        <v>46</v>
      </c>
      <c r="E521">
        <v>44</v>
      </c>
      <c r="F521" t="s">
        <v>117</v>
      </c>
      <c r="G521" t="s">
        <v>258</v>
      </c>
      <c r="H521" t="s">
        <v>259</v>
      </c>
      <c r="J521" t="s">
        <v>0</v>
      </c>
      <c r="K521" t="s">
        <v>1</v>
      </c>
      <c r="L521">
        <v>27453</v>
      </c>
      <c r="M521">
        <v>16</v>
      </c>
      <c r="N521">
        <v>4</v>
      </c>
      <c r="O521">
        <v>509.84399999999999</v>
      </c>
      <c r="P521">
        <v>0.4</v>
      </c>
      <c r="Q521">
        <v>35</v>
      </c>
      <c r="R521">
        <v>2</v>
      </c>
      <c r="S521" t="s">
        <v>116</v>
      </c>
      <c r="T521">
        <v>2</v>
      </c>
      <c r="U521">
        <v>2</v>
      </c>
      <c r="V521">
        <v>0</v>
      </c>
      <c r="W521">
        <v>0</v>
      </c>
      <c r="X521">
        <v>0</v>
      </c>
      <c r="Y521" s="20">
        <f>SUM(Table1[[#This Row],[dty_type_cnt1]:[dty_type_cnt5]])</f>
        <v>4</v>
      </c>
    </row>
    <row r="522" spans="1:25" x14ac:dyDescent="0.25">
      <c r="A522" s="15">
        <v>46105</v>
      </c>
      <c r="B522" t="s">
        <v>430</v>
      </c>
      <c r="C522" t="s">
        <v>256</v>
      </c>
      <c r="D522" t="s">
        <v>46</v>
      </c>
      <c r="E522">
        <v>51</v>
      </c>
      <c r="F522" t="s">
        <v>272</v>
      </c>
      <c r="G522" t="s">
        <v>258</v>
      </c>
      <c r="H522" t="s">
        <v>259</v>
      </c>
      <c r="J522" t="s">
        <v>156</v>
      </c>
      <c r="K522" t="s">
        <v>1</v>
      </c>
      <c r="L522">
        <v>27453</v>
      </c>
      <c r="M522">
        <v>47</v>
      </c>
      <c r="N522">
        <v>14</v>
      </c>
      <c r="O522">
        <v>1158.2349999999999</v>
      </c>
      <c r="P522">
        <v>63.7</v>
      </c>
      <c r="Q522">
        <v>20</v>
      </c>
      <c r="R522">
        <v>5</v>
      </c>
      <c r="S522" t="s">
        <v>116</v>
      </c>
      <c r="T522">
        <v>5</v>
      </c>
      <c r="U522">
        <v>4</v>
      </c>
      <c r="V522">
        <v>1</v>
      </c>
      <c r="W522">
        <v>0</v>
      </c>
      <c r="X522">
        <v>0</v>
      </c>
      <c r="Y522" s="20">
        <f>SUM(Table1[[#This Row],[dty_type_cnt1]:[dty_type_cnt5]])</f>
        <v>10</v>
      </c>
    </row>
    <row r="523" spans="1:25" x14ac:dyDescent="0.25">
      <c r="A523" s="15">
        <v>46105</v>
      </c>
      <c r="B523" t="s">
        <v>430</v>
      </c>
      <c r="C523" t="s">
        <v>256</v>
      </c>
      <c r="D523" t="s">
        <v>46</v>
      </c>
      <c r="E523">
        <v>55</v>
      </c>
      <c r="F523" t="s">
        <v>48</v>
      </c>
      <c r="G523" t="s">
        <v>258</v>
      </c>
      <c r="H523" t="s">
        <v>259</v>
      </c>
      <c r="J523" t="s">
        <v>0</v>
      </c>
      <c r="K523" t="s">
        <v>1</v>
      </c>
      <c r="L523">
        <v>27453</v>
      </c>
      <c r="M523">
        <v>10</v>
      </c>
      <c r="N523">
        <v>2</v>
      </c>
      <c r="O523">
        <v>264.80500000000001</v>
      </c>
      <c r="P523">
        <v>0.2</v>
      </c>
      <c r="Q523">
        <v>30</v>
      </c>
      <c r="R523">
        <v>1</v>
      </c>
      <c r="S523" t="s">
        <v>116</v>
      </c>
      <c r="T523">
        <v>1</v>
      </c>
      <c r="U523">
        <v>1</v>
      </c>
      <c r="V523">
        <v>0</v>
      </c>
      <c r="W523">
        <v>0</v>
      </c>
      <c r="X523">
        <v>0</v>
      </c>
      <c r="Y523" s="20">
        <f>SUM(Table1[[#This Row],[dty_type_cnt1]:[dty_type_cnt5]])</f>
        <v>2</v>
      </c>
    </row>
    <row r="524" spans="1:25" x14ac:dyDescent="0.25">
      <c r="A524" s="15">
        <v>46105</v>
      </c>
      <c r="B524" t="s">
        <v>430</v>
      </c>
      <c r="C524" t="s">
        <v>256</v>
      </c>
      <c r="D524" t="s">
        <v>46</v>
      </c>
      <c r="E524">
        <v>61</v>
      </c>
      <c r="F524" t="s">
        <v>378</v>
      </c>
      <c r="G524" t="s">
        <v>258</v>
      </c>
      <c r="H524" t="s">
        <v>259</v>
      </c>
      <c r="J524" t="s">
        <v>0</v>
      </c>
      <c r="K524" t="s">
        <v>1</v>
      </c>
      <c r="L524">
        <v>27453</v>
      </c>
      <c r="M524">
        <v>65</v>
      </c>
      <c r="N524">
        <v>16</v>
      </c>
      <c r="O524">
        <v>1775.4880000000001</v>
      </c>
      <c r="P524">
        <v>220.7</v>
      </c>
      <c r="Q524">
        <v>20</v>
      </c>
      <c r="R524">
        <v>7</v>
      </c>
      <c r="S524" t="s">
        <v>116</v>
      </c>
      <c r="T524">
        <v>7</v>
      </c>
      <c r="U524">
        <v>7</v>
      </c>
      <c r="V524">
        <v>0</v>
      </c>
      <c r="W524">
        <v>0</v>
      </c>
      <c r="X524">
        <v>0</v>
      </c>
      <c r="Y524" s="20">
        <f>SUM(Table1[[#This Row],[dty_type_cnt1]:[dty_type_cnt5]])</f>
        <v>14</v>
      </c>
    </row>
    <row r="525" spans="1:25" x14ac:dyDescent="0.25">
      <c r="A525" s="15">
        <v>46105</v>
      </c>
      <c r="B525" t="s">
        <v>430</v>
      </c>
      <c r="C525" t="s">
        <v>256</v>
      </c>
      <c r="D525" t="s">
        <v>46</v>
      </c>
      <c r="E525" t="s">
        <v>273</v>
      </c>
      <c r="F525" t="s">
        <v>274</v>
      </c>
      <c r="G525" t="s">
        <v>258</v>
      </c>
      <c r="H525" t="s">
        <v>259</v>
      </c>
      <c r="J525" t="s">
        <v>156</v>
      </c>
      <c r="K525" t="s">
        <v>1</v>
      </c>
      <c r="L525">
        <v>27453</v>
      </c>
      <c r="M525">
        <v>65</v>
      </c>
      <c r="N525">
        <v>18</v>
      </c>
      <c r="O525">
        <v>2803.1550000000002</v>
      </c>
      <c r="P525">
        <v>352.7</v>
      </c>
      <c r="Q525">
        <v>29</v>
      </c>
      <c r="R525">
        <v>9</v>
      </c>
      <c r="S525" t="s">
        <v>116</v>
      </c>
      <c r="T525">
        <v>8</v>
      </c>
      <c r="U525">
        <v>8</v>
      </c>
      <c r="V525">
        <v>0</v>
      </c>
      <c r="W525">
        <v>0</v>
      </c>
      <c r="X525">
        <v>0</v>
      </c>
      <c r="Y525" s="20">
        <f>SUM(Table1[[#This Row],[dty_type_cnt1]:[dty_type_cnt5]])</f>
        <v>16</v>
      </c>
    </row>
    <row r="526" spans="1:25" x14ac:dyDescent="0.25">
      <c r="A526" s="15">
        <v>46105</v>
      </c>
      <c r="B526" t="s">
        <v>430</v>
      </c>
      <c r="C526" t="s">
        <v>256</v>
      </c>
      <c r="D526" t="s">
        <v>46</v>
      </c>
      <c r="E526">
        <v>81</v>
      </c>
      <c r="F526" t="s">
        <v>275</v>
      </c>
      <c r="G526" t="s">
        <v>258</v>
      </c>
      <c r="H526" t="s">
        <v>259</v>
      </c>
      <c r="J526" t="s">
        <v>0</v>
      </c>
      <c r="K526" t="s">
        <v>1</v>
      </c>
      <c r="L526">
        <v>27453</v>
      </c>
      <c r="M526">
        <v>85</v>
      </c>
      <c r="N526">
        <v>17</v>
      </c>
      <c r="O526">
        <v>1754.5239999999999</v>
      </c>
      <c r="P526">
        <v>158.19999999999999</v>
      </c>
      <c r="Q526">
        <v>25</v>
      </c>
      <c r="R526">
        <v>9</v>
      </c>
      <c r="S526" t="s">
        <v>116</v>
      </c>
      <c r="T526">
        <v>6</v>
      </c>
      <c r="U526">
        <v>8</v>
      </c>
      <c r="V526">
        <v>0</v>
      </c>
      <c r="W526">
        <v>0</v>
      </c>
      <c r="X526">
        <v>0</v>
      </c>
      <c r="Y526" s="20">
        <f>SUM(Table1[[#This Row],[dty_type_cnt1]:[dty_type_cnt5]])</f>
        <v>14</v>
      </c>
    </row>
    <row r="527" spans="1:25" x14ac:dyDescent="0.25">
      <c r="A527" s="15">
        <v>46105</v>
      </c>
      <c r="B527" t="s">
        <v>430</v>
      </c>
      <c r="C527" t="s">
        <v>256</v>
      </c>
      <c r="D527" t="s">
        <v>46</v>
      </c>
      <c r="E527">
        <v>84</v>
      </c>
      <c r="F527" t="s">
        <v>164</v>
      </c>
      <c r="G527" t="s">
        <v>258</v>
      </c>
      <c r="H527" t="s">
        <v>259</v>
      </c>
      <c r="J527" t="s">
        <v>156</v>
      </c>
      <c r="K527" t="s">
        <v>1</v>
      </c>
      <c r="L527">
        <v>27453</v>
      </c>
      <c r="M527">
        <v>74</v>
      </c>
      <c r="N527">
        <v>18</v>
      </c>
      <c r="O527">
        <v>1650.6369999999999</v>
      </c>
      <c r="P527">
        <v>162</v>
      </c>
      <c r="Q527">
        <v>20</v>
      </c>
      <c r="R527">
        <v>9</v>
      </c>
      <c r="S527" t="s">
        <v>116</v>
      </c>
      <c r="T527">
        <v>9</v>
      </c>
      <c r="U527">
        <v>7</v>
      </c>
      <c r="V527">
        <v>2</v>
      </c>
      <c r="W527">
        <v>0</v>
      </c>
      <c r="X527">
        <v>0</v>
      </c>
      <c r="Y527" s="20">
        <f>SUM(Table1[[#This Row],[dty_type_cnt1]:[dty_type_cnt5]])</f>
        <v>18</v>
      </c>
    </row>
    <row r="528" spans="1:25" x14ac:dyDescent="0.25">
      <c r="A528" s="15">
        <v>46105</v>
      </c>
      <c r="B528" t="s">
        <v>430</v>
      </c>
      <c r="C528" t="s">
        <v>256</v>
      </c>
      <c r="D528" t="s">
        <v>46</v>
      </c>
      <c r="E528" t="s">
        <v>418</v>
      </c>
      <c r="F528" t="s">
        <v>419</v>
      </c>
      <c r="G528" t="s">
        <v>258</v>
      </c>
      <c r="H528" t="s">
        <v>259</v>
      </c>
      <c r="J528" t="s">
        <v>156</v>
      </c>
      <c r="K528" t="s">
        <v>1</v>
      </c>
      <c r="L528">
        <v>27453</v>
      </c>
      <c r="M528">
        <v>14</v>
      </c>
      <c r="N528">
        <v>19</v>
      </c>
      <c r="O528">
        <v>148.02199999999999</v>
      </c>
      <c r="P528">
        <v>221.5</v>
      </c>
      <c r="Q528">
        <v>23</v>
      </c>
      <c r="R528">
        <v>5</v>
      </c>
      <c r="S528" t="s">
        <v>116</v>
      </c>
      <c r="T528">
        <v>5</v>
      </c>
      <c r="U528">
        <v>0</v>
      </c>
      <c r="V528">
        <v>0</v>
      </c>
      <c r="W528">
        <v>0</v>
      </c>
      <c r="X528">
        <v>0</v>
      </c>
      <c r="Y528" s="20">
        <f>SUM(Table1[[#This Row],[dty_type_cnt1]:[dty_type_cnt5]])</f>
        <v>5</v>
      </c>
    </row>
    <row r="529" spans="1:25" x14ac:dyDescent="0.25">
      <c r="A529" s="15">
        <v>46105</v>
      </c>
      <c r="B529" t="s">
        <v>430</v>
      </c>
      <c r="C529" t="s">
        <v>256</v>
      </c>
      <c r="D529" t="s">
        <v>46</v>
      </c>
      <c r="E529" t="s">
        <v>420</v>
      </c>
      <c r="F529" t="s">
        <v>421</v>
      </c>
      <c r="G529" t="s">
        <v>258</v>
      </c>
      <c r="H529" t="s">
        <v>259</v>
      </c>
      <c r="J529" t="s">
        <v>156</v>
      </c>
      <c r="K529" t="s">
        <v>1</v>
      </c>
      <c r="L529">
        <v>27453</v>
      </c>
      <c r="M529">
        <v>16</v>
      </c>
      <c r="N529">
        <v>21</v>
      </c>
      <c r="O529">
        <v>156.52799999999999</v>
      </c>
      <c r="P529">
        <v>237.1</v>
      </c>
      <c r="Q529">
        <v>0</v>
      </c>
      <c r="R529">
        <v>0</v>
      </c>
      <c r="S529" t="s">
        <v>116</v>
      </c>
      <c r="T529">
        <v>0</v>
      </c>
      <c r="U529">
        <v>5</v>
      </c>
      <c r="V529">
        <v>0</v>
      </c>
      <c r="W529">
        <v>0</v>
      </c>
      <c r="X529">
        <v>0</v>
      </c>
      <c r="Y529" s="20">
        <f>SUM(Table1[[#This Row],[dty_type_cnt1]:[dty_type_cnt5]])</f>
        <v>5</v>
      </c>
    </row>
    <row r="530" spans="1:25" x14ac:dyDescent="0.25">
      <c r="A530" s="15">
        <v>46105</v>
      </c>
      <c r="B530" t="s">
        <v>430</v>
      </c>
      <c r="C530" t="s">
        <v>256</v>
      </c>
      <c r="D530" t="s">
        <v>46</v>
      </c>
      <c r="E530">
        <v>91</v>
      </c>
      <c r="F530" t="s">
        <v>260</v>
      </c>
      <c r="G530" t="s">
        <v>258</v>
      </c>
      <c r="H530" t="s">
        <v>259</v>
      </c>
      <c r="J530" t="s">
        <v>156</v>
      </c>
      <c r="K530" t="s">
        <v>1</v>
      </c>
      <c r="L530">
        <v>27453</v>
      </c>
      <c r="M530">
        <v>48</v>
      </c>
      <c r="N530">
        <v>18</v>
      </c>
      <c r="O530">
        <v>1471.3440000000001</v>
      </c>
      <c r="P530">
        <v>200.6</v>
      </c>
      <c r="Q530">
        <v>15</v>
      </c>
      <c r="R530">
        <v>6</v>
      </c>
      <c r="S530" t="s">
        <v>116</v>
      </c>
      <c r="T530">
        <v>6</v>
      </c>
      <c r="U530">
        <v>3</v>
      </c>
      <c r="V530">
        <v>3</v>
      </c>
      <c r="W530">
        <v>0</v>
      </c>
      <c r="X530">
        <v>0</v>
      </c>
      <c r="Y530" s="20">
        <f>SUM(Table1[[#This Row],[dty_type_cnt1]:[dty_type_cnt5]])</f>
        <v>12</v>
      </c>
    </row>
    <row r="531" spans="1:25" x14ac:dyDescent="0.25">
      <c r="A531" s="15">
        <v>46105</v>
      </c>
      <c r="B531" t="s">
        <v>430</v>
      </c>
      <c r="C531" t="s">
        <v>256</v>
      </c>
      <c r="D531" t="s">
        <v>46</v>
      </c>
      <c r="E531">
        <v>93</v>
      </c>
      <c r="F531" t="s">
        <v>276</v>
      </c>
      <c r="G531" t="s">
        <v>258</v>
      </c>
      <c r="H531" t="s">
        <v>259</v>
      </c>
      <c r="J531" t="s">
        <v>156</v>
      </c>
      <c r="K531" t="s">
        <v>1</v>
      </c>
      <c r="L531">
        <v>27453</v>
      </c>
      <c r="M531">
        <v>70</v>
      </c>
      <c r="N531">
        <v>18</v>
      </c>
      <c r="O531">
        <v>1665.53</v>
      </c>
      <c r="P531">
        <v>132.19999999999999</v>
      </c>
      <c r="Q531">
        <v>30</v>
      </c>
      <c r="R531">
        <v>9</v>
      </c>
      <c r="S531" t="s">
        <v>116</v>
      </c>
      <c r="T531">
        <v>9</v>
      </c>
      <c r="U531">
        <v>6</v>
      </c>
      <c r="V531">
        <v>3</v>
      </c>
      <c r="W531">
        <v>0</v>
      </c>
      <c r="X531">
        <v>0</v>
      </c>
      <c r="Y531" s="20">
        <f>SUM(Table1[[#This Row],[dty_type_cnt1]:[dty_type_cnt5]])</f>
        <v>18</v>
      </c>
    </row>
    <row r="532" spans="1:25" x14ac:dyDescent="0.25">
      <c r="A532" s="15">
        <v>46105</v>
      </c>
      <c r="B532" t="s">
        <v>430</v>
      </c>
      <c r="C532" t="s">
        <v>256</v>
      </c>
      <c r="D532" t="s">
        <v>46</v>
      </c>
      <c r="E532" t="s">
        <v>422</v>
      </c>
      <c r="F532" t="s">
        <v>423</v>
      </c>
      <c r="G532" t="s">
        <v>258</v>
      </c>
      <c r="H532" t="s">
        <v>259</v>
      </c>
      <c r="J532" t="s">
        <v>156</v>
      </c>
      <c r="K532" t="s">
        <v>1</v>
      </c>
      <c r="L532">
        <v>27453</v>
      </c>
      <c r="M532">
        <v>17</v>
      </c>
      <c r="N532">
        <v>22</v>
      </c>
      <c r="O532">
        <v>203.49</v>
      </c>
      <c r="P532">
        <v>297.7</v>
      </c>
      <c r="Q532">
        <v>11</v>
      </c>
      <c r="R532">
        <v>5</v>
      </c>
      <c r="S532" t="s">
        <v>116</v>
      </c>
      <c r="T532">
        <v>5</v>
      </c>
      <c r="U532">
        <v>0</v>
      </c>
      <c r="V532">
        <v>0</v>
      </c>
      <c r="W532">
        <v>0</v>
      </c>
      <c r="X532">
        <v>0</v>
      </c>
      <c r="Y532" s="20">
        <f>SUM(Table1[[#This Row],[dty_type_cnt1]:[dty_type_cnt5]])</f>
        <v>5</v>
      </c>
    </row>
    <row r="533" spans="1:25" x14ac:dyDescent="0.25">
      <c r="A533" s="15">
        <v>46105</v>
      </c>
      <c r="B533" t="s">
        <v>430</v>
      </c>
      <c r="C533" t="s">
        <v>256</v>
      </c>
      <c r="D533" t="s">
        <v>46</v>
      </c>
      <c r="E533" t="s">
        <v>424</v>
      </c>
      <c r="F533" t="s">
        <v>425</v>
      </c>
      <c r="G533" t="s">
        <v>258</v>
      </c>
      <c r="H533" t="s">
        <v>259</v>
      </c>
      <c r="J533" t="s">
        <v>156</v>
      </c>
      <c r="K533" t="s">
        <v>1</v>
      </c>
      <c r="L533">
        <v>27453</v>
      </c>
      <c r="M533">
        <v>12</v>
      </c>
      <c r="N533">
        <v>17</v>
      </c>
      <c r="O533">
        <v>143.904</v>
      </c>
      <c r="P533">
        <v>200</v>
      </c>
      <c r="Q533">
        <v>0</v>
      </c>
      <c r="R533">
        <v>0</v>
      </c>
      <c r="S533" t="s">
        <v>116</v>
      </c>
      <c r="T533">
        <v>0</v>
      </c>
      <c r="U533">
        <v>5</v>
      </c>
      <c r="V533">
        <v>0</v>
      </c>
      <c r="W533">
        <v>0</v>
      </c>
      <c r="X533">
        <v>0</v>
      </c>
      <c r="Y533" s="20">
        <f>SUM(Table1[[#This Row],[dty_type_cnt1]:[dty_type_cnt5]])</f>
        <v>5</v>
      </c>
    </row>
    <row r="534" spans="1:25" x14ac:dyDescent="0.25">
      <c r="A534" s="15">
        <v>46105</v>
      </c>
      <c r="B534" t="s">
        <v>430</v>
      </c>
      <c r="C534" t="s">
        <v>256</v>
      </c>
      <c r="D534" t="s">
        <v>46</v>
      </c>
      <c r="E534">
        <v>96</v>
      </c>
      <c r="F534" t="s">
        <v>167</v>
      </c>
      <c r="G534" t="s">
        <v>258</v>
      </c>
      <c r="H534" t="s">
        <v>259</v>
      </c>
      <c r="J534" t="s">
        <v>156</v>
      </c>
      <c r="K534" t="s">
        <v>1</v>
      </c>
      <c r="L534">
        <v>27453</v>
      </c>
      <c r="M534">
        <v>34</v>
      </c>
      <c r="N534">
        <v>8</v>
      </c>
      <c r="O534">
        <v>1705.6579999999999</v>
      </c>
      <c r="P534">
        <v>78.3</v>
      </c>
      <c r="Q534">
        <v>30</v>
      </c>
      <c r="R534">
        <v>4</v>
      </c>
      <c r="S534" t="s">
        <v>116</v>
      </c>
      <c r="T534">
        <v>5</v>
      </c>
      <c r="U534">
        <v>3</v>
      </c>
      <c r="V534">
        <v>1</v>
      </c>
      <c r="W534">
        <v>0</v>
      </c>
      <c r="X534">
        <v>0</v>
      </c>
      <c r="Y534" s="20">
        <f>SUM(Table1[[#This Row],[dty_type_cnt1]:[dty_type_cnt5]])</f>
        <v>9</v>
      </c>
    </row>
    <row r="535" spans="1:25" x14ac:dyDescent="0.25">
      <c r="A535" s="15">
        <v>46105</v>
      </c>
      <c r="B535" t="s">
        <v>430</v>
      </c>
      <c r="C535" t="s">
        <v>256</v>
      </c>
      <c r="D535" t="s">
        <v>46</v>
      </c>
      <c r="E535" t="s">
        <v>277</v>
      </c>
      <c r="F535" t="s">
        <v>278</v>
      </c>
      <c r="G535" t="s">
        <v>258</v>
      </c>
      <c r="H535" t="s">
        <v>259</v>
      </c>
      <c r="J535" t="s">
        <v>156</v>
      </c>
      <c r="K535" t="s">
        <v>1</v>
      </c>
      <c r="L535">
        <v>27453</v>
      </c>
      <c r="M535">
        <v>27</v>
      </c>
      <c r="N535">
        <v>8</v>
      </c>
      <c r="O535">
        <v>856.7</v>
      </c>
      <c r="P535">
        <v>43.4</v>
      </c>
      <c r="Q535">
        <v>30</v>
      </c>
      <c r="R535">
        <v>3</v>
      </c>
      <c r="S535" t="s">
        <v>116</v>
      </c>
      <c r="T535">
        <v>3</v>
      </c>
      <c r="U535">
        <v>2</v>
      </c>
      <c r="V535">
        <v>2</v>
      </c>
      <c r="W535">
        <v>0</v>
      </c>
      <c r="X535">
        <v>0</v>
      </c>
      <c r="Y535" s="20">
        <f>SUM(Table1[[#This Row],[dty_type_cnt1]:[dty_type_cnt5]])</f>
        <v>7</v>
      </c>
    </row>
    <row r="536" spans="1:25" x14ac:dyDescent="0.25">
      <c r="A536" s="15">
        <v>46105</v>
      </c>
      <c r="B536" t="s">
        <v>430</v>
      </c>
      <c r="C536" t="s">
        <v>256</v>
      </c>
      <c r="D536" t="s">
        <v>46</v>
      </c>
      <c r="E536" t="s">
        <v>50</v>
      </c>
      <c r="F536" t="s">
        <v>51</v>
      </c>
      <c r="G536" t="s">
        <v>258</v>
      </c>
      <c r="H536" t="s">
        <v>259</v>
      </c>
      <c r="J536" t="s">
        <v>0</v>
      </c>
      <c r="K536" t="s">
        <v>1</v>
      </c>
      <c r="L536">
        <v>27453</v>
      </c>
      <c r="M536">
        <v>20</v>
      </c>
      <c r="N536">
        <v>4</v>
      </c>
      <c r="O536">
        <v>451.03</v>
      </c>
      <c r="P536">
        <v>0.4</v>
      </c>
      <c r="Q536">
        <v>30</v>
      </c>
      <c r="R536">
        <v>2</v>
      </c>
      <c r="S536" t="s">
        <v>116</v>
      </c>
      <c r="T536">
        <v>2</v>
      </c>
      <c r="U536">
        <v>2</v>
      </c>
      <c r="V536">
        <v>0</v>
      </c>
      <c r="W536">
        <v>0</v>
      </c>
      <c r="X536">
        <v>0</v>
      </c>
      <c r="Y536" s="20">
        <f>SUM(Table1[[#This Row],[dty_type_cnt1]:[dty_type_cnt5]])</f>
        <v>4</v>
      </c>
    </row>
    <row r="537" spans="1:25" x14ac:dyDescent="0.25">
      <c r="A537" s="15">
        <v>46105</v>
      </c>
      <c r="B537" t="s">
        <v>430</v>
      </c>
      <c r="C537" t="s">
        <v>256</v>
      </c>
      <c r="D537" t="s">
        <v>46</v>
      </c>
      <c r="E537" t="s">
        <v>52</v>
      </c>
      <c r="F537" t="s">
        <v>53</v>
      </c>
      <c r="G537" t="s">
        <v>258</v>
      </c>
      <c r="H537" t="s">
        <v>259</v>
      </c>
      <c r="J537" t="s">
        <v>0</v>
      </c>
      <c r="K537" t="s">
        <v>1</v>
      </c>
      <c r="L537">
        <v>27453</v>
      </c>
      <c r="M537">
        <v>20</v>
      </c>
      <c r="N537">
        <v>4</v>
      </c>
      <c r="O537">
        <v>474.79500000000002</v>
      </c>
      <c r="P537">
        <v>20.8</v>
      </c>
      <c r="Q537">
        <v>20</v>
      </c>
      <c r="R537">
        <v>2</v>
      </c>
      <c r="S537" t="s">
        <v>116</v>
      </c>
      <c r="T537">
        <v>2</v>
      </c>
      <c r="U537">
        <v>2</v>
      </c>
      <c r="V537">
        <v>0</v>
      </c>
      <c r="W537">
        <v>0</v>
      </c>
      <c r="X537">
        <v>0</v>
      </c>
      <c r="Y537" s="20">
        <f>SUM(Table1[[#This Row],[dty_type_cnt1]:[dty_type_cnt5]])</f>
        <v>4</v>
      </c>
    </row>
    <row r="538" spans="1:25" x14ac:dyDescent="0.25">
      <c r="A538" s="15">
        <v>46105</v>
      </c>
      <c r="B538" t="s">
        <v>430</v>
      </c>
      <c r="C538" t="s">
        <v>256</v>
      </c>
      <c r="D538" t="s">
        <v>46</v>
      </c>
      <c r="E538" t="s">
        <v>124</v>
      </c>
      <c r="F538" t="s">
        <v>125</v>
      </c>
      <c r="G538" t="s">
        <v>258</v>
      </c>
      <c r="H538" t="s">
        <v>259</v>
      </c>
      <c r="J538" t="s">
        <v>0</v>
      </c>
      <c r="K538" t="s">
        <v>1</v>
      </c>
      <c r="L538">
        <v>27453</v>
      </c>
      <c r="M538">
        <v>10</v>
      </c>
      <c r="N538">
        <v>2</v>
      </c>
      <c r="O538">
        <v>204.964</v>
      </c>
      <c r="P538">
        <v>0.2</v>
      </c>
      <c r="Q538">
        <v>140</v>
      </c>
      <c r="R538">
        <v>1</v>
      </c>
      <c r="S538" t="s">
        <v>116</v>
      </c>
      <c r="T538">
        <v>1</v>
      </c>
      <c r="U538">
        <v>1</v>
      </c>
      <c r="V538">
        <v>0</v>
      </c>
      <c r="W538">
        <v>0</v>
      </c>
      <c r="X538">
        <v>0</v>
      </c>
      <c r="Y538" s="20">
        <f>SUM(Table1[[#This Row],[dty_type_cnt1]:[dty_type_cnt5]])</f>
        <v>2</v>
      </c>
    </row>
    <row r="539" spans="1:25" x14ac:dyDescent="0.25">
      <c r="A539" s="15">
        <v>46105</v>
      </c>
      <c r="B539" t="s">
        <v>430</v>
      </c>
      <c r="C539" t="s">
        <v>256</v>
      </c>
      <c r="D539" t="s">
        <v>46</v>
      </c>
      <c r="E539" t="s">
        <v>240</v>
      </c>
      <c r="F539" t="s">
        <v>241</v>
      </c>
      <c r="G539" t="s">
        <v>258</v>
      </c>
      <c r="H539" t="s">
        <v>259</v>
      </c>
      <c r="J539" t="s">
        <v>0</v>
      </c>
      <c r="K539" t="s">
        <v>1</v>
      </c>
      <c r="L539">
        <v>27453</v>
      </c>
      <c r="M539">
        <v>30</v>
      </c>
      <c r="N539">
        <v>6</v>
      </c>
      <c r="O539">
        <v>715.44</v>
      </c>
      <c r="P539">
        <v>12.9</v>
      </c>
      <c r="Q539">
        <v>30</v>
      </c>
      <c r="R539">
        <v>3</v>
      </c>
      <c r="S539" t="s">
        <v>116</v>
      </c>
      <c r="T539">
        <v>3</v>
      </c>
      <c r="U539">
        <v>3</v>
      </c>
      <c r="V539">
        <v>0</v>
      </c>
      <c r="W539">
        <v>0</v>
      </c>
      <c r="X539">
        <v>0</v>
      </c>
      <c r="Y539" s="20">
        <f>SUM(Table1[[#This Row],[dty_type_cnt1]:[dty_type_cnt5]])</f>
        <v>6</v>
      </c>
    </row>
    <row r="540" spans="1:25" x14ac:dyDescent="0.25">
      <c r="A540" s="15">
        <v>46105</v>
      </c>
      <c r="B540" t="s">
        <v>430</v>
      </c>
      <c r="C540" t="s">
        <v>256</v>
      </c>
      <c r="D540" t="s">
        <v>55</v>
      </c>
      <c r="E540" t="s">
        <v>279</v>
      </c>
      <c r="F540" t="s">
        <v>280</v>
      </c>
      <c r="G540" t="s">
        <v>258</v>
      </c>
      <c r="H540" t="s">
        <v>259</v>
      </c>
      <c r="J540" t="s">
        <v>156</v>
      </c>
      <c r="K540" t="s">
        <v>1</v>
      </c>
      <c r="L540">
        <v>27453</v>
      </c>
      <c r="M540">
        <v>18</v>
      </c>
      <c r="N540">
        <v>2</v>
      </c>
      <c r="O540">
        <v>374.77800000000002</v>
      </c>
      <c r="P540">
        <v>13.1</v>
      </c>
      <c r="Q540">
        <v>60</v>
      </c>
      <c r="R540">
        <v>1</v>
      </c>
      <c r="S540" t="s">
        <v>116</v>
      </c>
      <c r="T540">
        <v>1</v>
      </c>
      <c r="U540">
        <v>1</v>
      </c>
      <c r="V540">
        <v>0</v>
      </c>
      <c r="W540">
        <v>0</v>
      </c>
      <c r="X540">
        <v>0</v>
      </c>
      <c r="Y540" s="20">
        <f>SUM(Table1[[#This Row],[dty_type_cnt1]:[dty_type_cnt5]])</f>
        <v>2</v>
      </c>
    </row>
    <row r="541" spans="1:25" x14ac:dyDescent="0.25">
      <c r="A541" s="15">
        <v>46105</v>
      </c>
      <c r="B541" t="s">
        <v>430</v>
      </c>
      <c r="C541" t="s">
        <v>256</v>
      </c>
      <c r="D541" t="s">
        <v>54</v>
      </c>
      <c r="E541" t="s">
        <v>281</v>
      </c>
      <c r="F541" t="s">
        <v>282</v>
      </c>
      <c r="G541" t="s">
        <v>258</v>
      </c>
      <c r="H541" t="s">
        <v>259</v>
      </c>
      <c r="J541" t="s">
        <v>156</v>
      </c>
      <c r="K541" t="s">
        <v>1</v>
      </c>
      <c r="L541">
        <v>27453</v>
      </c>
      <c r="M541">
        <v>45</v>
      </c>
      <c r="N541">
        <v>13</v>
      </c>
      <c r="O541">
        <v>552.39300000000003</v>
      </c>
      <c r="P541">
        <v>153.69999999999999</v>
      </c>
      <c r="Q541">
        <v>20</v>
      </c>
      <c r="R541">
        <v>4</v>
      </c>
      <c r="S541" t="s">
        <v>116</v>
      </c>
      <c r="T541">
        <v>4</v>
      </c>
      <c r="U541">
        <v>2</v>
      </c>
      <c r="V541">
        <v>2</v>
      </c>
      <c r="W541">
        <v>0</v>
      </c>
      <c r="X541">
        <v>0</v>
      </c>
      <c r="Y541" s="20">
        <f>SUM(Table1[[#This Row],[dty_type_cnt1]:[dty_type_cnt5]])</f>
        <v>8</v>
      </c>
    </row>
    <row r="542" spans="1:25" x14ac:dyDescent="0.25">
      <c r="A542" s="15">
        <v>46105</v>
      </c>
      <c r="B542" t="s">
        <v>430</v>
      </c>
      <c r="C542" t="s">
        <v>256</v>
      </c>
      <c r="D542" t="s">
        <v>54</v>
      </c>
      <c r="E542" t="s">
        <v>283</v>
      </c>
      <c r="F542" t="s">
        <v>284</v>
      </c>
      <c r="G542" t="s">
        <v>258</v>
      </c>
      <c r="H542" t="s">
        <v>259</v>
      </c>
      <c r="J542" t="s">
        <v>156</v>
      </c>
      <c r="K542" t="s">
        <v>1</v>
      </c>
      <c r="L542">
        <v>27453</v>
      </c>
      <c r="M542">
        <v>83</v>
      </c>
      <c r="N542">
        <v>10</v>
      </c>
      <c r="O542">
        <v>748.82600000000002</v>
      </c>
      <c r="P542">
        <v>119.5</v>
      </c>
      <c r="Q542">
        <v>12</v>
      </c>
      <c r="R542">
        <v>5</v>
      </c>
      <c r="S542" t="s">
        <v>116</v>
      </c>
      <c r="T542">
        <v>4</v>
      </c>
      <c r="U542">
        <v>5</v>
      </c>
      <c r="V542">
        <v>0</v>
      </c>
      <c r="W542">
        <v>0</v>
      </c>
      <c r="X542">
        <v>0</v>
      </c>
      <c r="Y542" s="20">
        <f>SUM(Table1[[#This Row],[dty_type_cnt1]:[dty_type_cnt5]])</f>
        <v>9</v>
      </c>
    </row>
    <row r="543" spans="1:25" x14ac:dyDescent="0.25">
      <c r="A543" s="15">
        <v>46105</v>
      </c>
      <c r="B543" t="s">
        <v>430</v>
      </c>
      <c r="C543" t="s">
        <v>256</v>
      </c>
      <c r="D543" t="s">
        <v>54</v>
      </c>
      <c r="E543" t="s">
        <v>285</v>
      </c>
      <c r="F543" t="s">
        <v>286</v>
      </c>
      <c r="G543" t="s">
        <v>258</v>
      </c>
      <c r="H543" t="s">
        <v>259</v>
      </c>
      <c r="J543" t="s">
        <v>156</v>
      </c>
      <c r="K543" t="s">
        <v>1</v>
      </c>
      <c r="L543">
        <v>27453</v>
      </c>
      <c r="M543">
        <v>52</v>
      </c>
      <c r="N543">
        <v>10</v>
      </c>
      <c r="O543">
        <v>774.327</v>
      </c>
      <c r="P543">
        <v>110.5</v>
      </c>
      <c r="Q543">
        <v>15</v>
      </c>
      <c r="R543">
        <v>5</v>
      </c>
      <c r="S543" t="s">
        <v>116</v>
      </c>
      <c r="T543">
        <v>3</v>
      </c>
      <c r="U543">
        <v>5</v>
      </c>
      <c r="V543">
        <v>0</v>
      </c>
      <c r="W543">
        <v>0</v>
      </c>
      <c r="X543">
        <v>0</v>
      </c>
      <c r="Y543" s="20">
        <f>SUM(Table1[[#This Row],[dty_type_cnt1]:[dty_type_cnt5]])</f>
        <v>8</v>
      </c>
    </row>
    <row r="544" spans="1:25" x14ac:dyDescent="0.25">
      <c r="A544" s="15">
        <v>46105</v>
      </c>
      <c r="B544" t="s">
        <v>430</v>
      </c>
      <c r="C544" t="s">
        <v>256</v>
      </c>
      <c r="D544" t="s">
        <v>54</v>
      </c>
      <c r="E544" t="s">
        <v>287</v>
      </c>
      <c r="F544" t="s">
        <v>288</v>
      </c>
      <c r="G544" t="s">
        <v>258</v>
      </c>
      <c r="H544" t="s">
        <v>259</v>
      </c>
      <c r="J544" t="s">
        <v>156</v>
      </c>
      <c r="K544" t="s">
        <v>1</v>
      </c>
      <c r="L544">
        <v>27453</v>
      </c>
      <c r="M544">
        <v>49</v>
      </c>
      <c r="N544">
        <v>10</v>
      </c>
      <c r="O544">
        <v>683.29600000000005</v>
      </c>
      <c r="P544">
        <v>52.9</v>
      </c>
      <c r="Q544">
        <v>8</v>
      </c>
      <c r="R544">
        <v>5</v>
      </c>
      <c r="S544" t="s">
        <v>116</v>
      </c>
      <c r="T544">
        <v>3</v>
      </c>
      <c r="U544">
        <v>4</v>
      </c>
      <c r="V544">
        <v>1</v>
      </c>
      <c r="W544">
        <v>0</v>
      </c>
      <c r="X544">
        <v>0</v>
      </c>
      <c r="Y544" s="20">
        <f>SUM(Table1[[#This Row],[dty_type_cnt1]:[dty_type_cnt5]])</f>
        <v>8</v>
      </c>
    </row>
    <row r="545" spans="1:25" x14ac:dyDescent="0.25">
      <c r="A545" s="15">
        <v>46105</v>
      </c>
      <c r="B545" t="s">
        <v>430</v>
      </c>
      <c r="C545" t="s">
        <v>256</v>
      </c>
      <c r="D545" t="s">
        <v>54</v>
      </c>
      <c r="E545" t="s">
        <v>289</v>
      </c>
      <c r="F545" t="s">
        <v>290</v>
      </c>
      <c r="G545" t="s">
        <v>258</v>
      </c>
      <c r="H545" t="s">
        <v>259</v>
      </c>
      <c r="J545" t="s">
        <v>156</v>
      </c>
      <c r="K545" t="s">
        <v>1</v>
      </c>
      <c r="L545">
        <v>27453</v>
      </c>
      <c r="M545">
        <v>81</v>
      </c>
      <c r="N545">
        <v>11</v>
      </c>
      <c r="O545">
        <v>708.42600000000004</v>
      </c>
      <c r="P545">
        <v>53.9</v>
      </c>
      <c r="Q545">
        <v>12</v>
      </c>
      <c r="R545">
        <v>4</v>
      </c>
      <c r="S545" t="s">
        <v>116</v>
      </c>
      <c r="T545">
        <v>4</v>
      </c>
      <c r="U545">
        <v>4</v>
      </c>
      <c r="V545">
        <v>0</v>
      </c>
      <c r="W545">
        <v>0</v>
      </c>
      <c r="X545">
        <v>0</v>
      </c>
      <c r="Y545" s="20">
        <f>SUM(Table1[[#This Row],[dty_type_cnt1]:[dty_type_cnt5]])</f>
        <v>8</v>
      </c>
    </row>
    <row r="546" spans="1:25" x14ac:dyDescent="0.25">
      <c r="A546" s="15">
        <v>46106</v>
      </c>
      <c r="B546" t="s">
        <v>430</v>
      </c>
      <c r="C546" t="s">
        <v>256</v>
      </c>
      <c r="D546" t="s">
        <v>54</v>
      </c>
      <c r="E546" t="s">
        <v>291</v>
      </c>
      <c r="F546" t="s">
        <v>292</v>
      </c>
      <c r="G546" t="s">
        <v>258</v>
      </c>
      <c r="H546" t="s">
        <v>259</v>
      </c>
      <c r="J546" t="s">
        <v>156</v>
      </c>
      <c r="K546" t="s">
        <v>1</v>
      </c>
      <c r="L546">
        <v>27453</v>
      </c>
      <c r="M546">
        <v>32</v>
      </c>
      <c r="N546">
        <v>4</v>
      </c>
      <c r="O546">
        <v>578.99199999999996</v>
      </c>
      <c r="P546">
        <v>47.8</v>
      </c>
      <c r="Q546">
        <v>30</v>
      </c>
      <c r="R546">
        <v>2</v>
      </c>
      <c r="S546" t="s">
        <v>116</v>
      </c>
      <c r="T546">
        <v>3</v>
      </c>
      <c r="U546">
        <v>0</v>
      </c>
      <c r="V546">
        <v>1</v>
      </c>
      <c r="W546">
        <v>0</v>
      </c>
      <c r="X546">
        <v>0</v>
      </c>
      <c r="Y546" s="20">
        <f>SUM(Table1[[#This Row],[dty_type_cnt1]:[dty_type_cnt5]])</f>
        <v>4</v>
      </c>
    </row>
    <row r="547" spans="1:25" x14ac:dyDescent="0.25">
      <c r="A547" s="15">
        <v>46106</v>
      </c>
      <c r="B547" t="s">
        <v>430</v>
      </c>
      <c r="C547" t="s">
        <v>256</v>
      </c>
      <c r="D547" t="s">
        <v>54</v>
      </c>
      <c r="E547" t="s">
        <v>293</v>
      </c>
      <c r="F547" t="s">
        <v>294</v>
      </c>
      <c r="G547" t="s">
        <v>258</v>
      </c>
      <c r="H547" t="s">
        <v>259</v>
      </c>
      <c r="J547" t="s">
        <v>156</v>
      </c>
      <c r="K547" t="s">
        <v>1</v>
      </c>
      <c r="L547">
        <v>27453</v>
      </c>
      <c r="M547">
        <v>98</v>
      </c>
      <c r="N547">
        <v>29</v>
      </c>
      <c r="O547">
        <v>1980.546</v>
      </c>
      <c r="P547">
        <v>164.25</v>
      </c>
      <c r="Q547">
        <v>15</v>
      </c>
      <c r="R547">
        <v>12</v>
      </c>
      <c r="S547" t="s">
        <v>116</v>
      </c>
      <c r="T547">
        <v>11</v>
      </c>
      <c r="U547">
        <v>10</v>
      </c>
      <c r="V547">
        <v>1</v>
      </c>
      <c r="W547">
        <v>0</v>
      </c>
      <c r="X547">
        <v>0</v>
      </c>
      <c r="Y547" s="20">
        <f>SUM(Table1[[#This Row],[dty_type_cnt1]:[dty_type_cnt5]])</f>
        <v>22</v>
      </c>
    </row>
    <row r="548" spans="1:25" x14ac:dyDescent="0.25">
      <c r="A548" s="15">
        <v>46106</v>
      </c>
      <c r="B548" t="s">
        <v>430</v>
      </c>
      <c r="C548" t="s">
        <v>256</v>
      </c>
      <c r="D548" t="s">
        <v>54</v>
      </c>
      <c r="E548" t="s">
        <v>295</v>
      </c>
      <c r="F548" t="s">
        <v>296</v>
      </c>
      <c r="G548" t="s">
        <v>258</v>
      </c>
      <c r="H548" t="s">
        <v>259</v>
      </c>
      <c r="J548" t="s">
        <v>156</v>
      </c>
      <c r="K548" t="s">
        <v>1</v>
      </c>
      <c r="L548">
        <v>27453</v>
      </c>
      <c r="M548">
        <v>75</v>
      </c>
      <c r="N548">
        <v>12</v>
      </c>
      <c r="O548">
        <v>1243.8320000000001</v>
      </c>
      <c r="P548">
        <v>56.3</v>
      </c>
      <c r="Q548">
        <v>30</v>
      </c>
      <c r="R548">
        <v>6</v>
      </c>
      <c r="S548" t="s">
        <v>116</v>
      </c>
      <c r="T548">
        <v>6</v>
      </c>
      <c r="U548">
        <v>6</v>
      </c>
      <c r="V548">
        <v>0</v>
      </c>
      <c r="W548">
        <v>0</v>
      </c>
      <c r="X548">
        <v>0</v>
      </c>
      <c r="Y548" s="20">
        <f>SUM(Table1[[#This Row],[dty_type_cnt1]:[dty_type_cnt5]])</f>
        <v>12</v>
      </c>
    </row>
    <row r="549" spans="1:25" x14ac:dyDescent="0.25">
      <c r="A549" s="15">
        <v>46106</v>
      </c>
      <c r="B549" t="s">
        <v>430</v>
      </c>
      <c r="C549" t="s">
        <v>256</v>
      </c>
      <c r="D549" t="s">
        <v>54</v>
      </c>
      <c r="E549" t="s">
        <v>400</v>
      </c>
      <c r="F549" t="s">
        <v>401</v>
      </c>
      <c r="G549" t="s">
        <v>258</v>
      </c>
      <c r="H549" t="s">
        <v>259</v>
      </c>
      <c r="J549" t="s">
        <v>0</v>
      </c>
      <c r="K549" t="s">
        <v>1</v>
      </c>
      <c r="L549">
        <v>27453</v>
      </c>
      <c r="M549">
        <v>22</v>
      </c>
      <c r="N549">
        <v>2</v>
      </c>
      <c r="O549">
        <v>196.768</v>
      </c>
      <c r="P549">
        <v>0.2</v>
      </c>
      <c r="Q549">
        <v>15</v>
      </c>
      <c r="R549">
        <v>1</v>
      </c>
      <c r="S549" t="s">
        <v>116</v>
      </c>
      <c r="T549">
        <v>1</v>
      </c>
      <c r="U549">
        <v>1</v>
      </c>
      <c r="V549">
        <v>0</v>
      </c>
      <c r="W549">
        <v>0</v>
      </c>
      <c r="X549">
        <v>0</v>
      </c>
      <c r="Y549" s="20">
        <f>SUM(Table1[[#This Row],[dty_type_cnt1]:[dty_type_cnt5]])</f>
        <v>2</v>
      </c>
    </row>
    <row r="550" spans="1:25" x14ac:dyDescent="0.25">
      <c r="A550" s="15">
        <v>46106</v>
      </c>
      <c r="B550" t="s">
        <v>430</v>
      </c>
      <c r="C550" t="s">
        <v>256</v>
      </c>
      <c r="D550" t="s">
        <v>54</v>
      </c>
      <c r="E550" t="s">
        <v>297</v>
      </c>
      <c r="F550" t="s">
        <v>298</v>
      </c>
      <c r="G550" t="s">
        <v>258</v>
      </c>
      <c r="H550" t="s">
        <v>259</v>
      </c>
      <c r="J550" t="s">
        <v>156</v>
      </c>
      <c r="K550" t="s">
        <v>1</v>
      </c>
      <c r="L550">
        <v>27453</v>
      </c>
      <c r="M550">
        <v>45</v>
      </c>
      <c r="N550">
        <v>8</v>
      </c>
      <c r="O550">
        <v>578.54100000000005</v>
      </c>
      <c r="P550">
        <v>38.78</v>
      </c>
      <c r="Q550">
        <v>20</v>
      </c>
      <c r="R550">
        <v>3</v>
      </c>
      <c r="S550" t="s">
        <v>116</v>
      </c>
      <c r="T550">
        <v>3</v>
      </c>
      <c r="U550">
        <v>2</v>
      </c>
      <c r="V550">
        <v>1</v>
      </c>
      <c r="W550">
        <v>0</v>
      </c>
      <c r="X550">
        <v>0</v>
      </c>
      <c r="Y550" s="20">
        <f>SUM(Table1[[#This Row],[dty_type_cnt1]:[dty_type_cnt5]])</f>
        <v>6</v>
      </c>
    </row>
    <row r="551" spans="1:25" x14ac:dyDescent="0.25">
      <c r="A551" s="15">
        <v>46106</v>
      </c>
      <c r="B551" t="s">
        <v>430</v>
      </c>
      <c r="C551" t="s">
        <v>256</v>
      </c>
      <c r="D551" t="s">
        <v>54</v>
      </c>
      <c r="E551" t="s">
        <v>299</v>
      </c>
      <c r="F551" t="s">
        <v>300</v>
      </c>
      <c r="G551" t="s">
        <v>258</v>
      </c>
      <c r="H551" t="s">
        <v>259</v>
      </c>
      <c r="J551" t="s">
        <v>156</v>
      </c>
      <c r="K551" t="s">
        <v>1</v>
      </c>
      <c r="L551">
        <v>27453</v>
      </c>
      <c r="M551">
        <v>43</v>
      </c>
      <c r="N551">
        <v>7</v>
      </c>
      <c r="O551">
        <v>1151.0309999999999</v>
      </c>
      <c r="P551">
        <v>61.7</v>
      </c>
      <c r="Q551">
        <v>30</v>
      </c>
      <c r="R551">
        <v>4</v>
      </c>
      <c r="S551" t="s">
        <v>116</v>
      </c>
      <c r="T551">
        <v>5</v>
      </c>
      <c r="U551">
        <v>2</v>
      </c>
      <c r="V551">
        <v>2</v>
      </c>
      <c r="W551">
        <v>0</v>
      </c>
      <c r="X551">
        <v>0</v>
      </c>
      <c r="Y551" s="20">
        <f>SUM(Table1[[#This Row],[dty_type_cnt1]:[dty_type_cnt5]])</f>
        <v>9</v>
      </c>
    </row>
    <row r="552" spans="1:25" x14ac:dyDescent="0.25">
      <c r="A552" s="15">
        <v>46106</v>
      </c>
      <c r="B552" t="s">
        <v>430</v>
      </c>
      <c r="C552" t="s">
        <v>256</v>
      </c>
      <c r="D552" t="s">
        <v>54</v>
      </c>
      <c r="E552" t="s">
        <v>301</v>
      </c>
      <c r="F552" t="s">
        <v>302</v>
      </c>
      <c r="G552" t="s">
        <v>258</v>
      </c>
      <c r="H552" t="s">
        <v>259</v>
      </c>
      <c r="J552" t="s">
        <v>156</v>
      </c>
      <c r="K552" t="s">
        <v>1</v>
      </c>
      <c r="L552">
        <v>27453</v>
      </c>
      <c r="M552">
        <v>64</v>
      </c>
      <c r="N552">
        <v>15</v>
      </c>
      <c r="O552">
        <v>2299.1779999999999</v>
      </c>
      <c r="P552">
        <v>104.7</v>
      </c>
      <c r="Q552">
        <v>15</v>
      </c>
      <c r="R552">
        <v>6</v>
      </c>
      <c r="S552" t="s">
        <v>116</v>
      </c>
      <c r="T552">
        <v>7</v>
      </c>
      <c r="U552">
        <v>6</v>
      </c>
      <c r="V552">
        <v>2</v>
      </c>
      <c r="W552">
        <v>0</v>
      </c>
      <c r="X552">
        <v>0</v>
      </c>
      <c r="Y552" s="20">
        <f>SUM(Table1[[#This Row],[dty_type_cnt1]:[dty_type_cnt5]])</f>
        <v>15</v>
      </c>
    </row>
    <row r="553" spans="1:25" x14ac:dyDescent="0.25">
      <c r="A553" s="15">
        <v>46106</v>
      </c>
      <c r="B553" t="s">
        <v>430</v>
      </c>
      <c r="C553" t="s">
        <v>256</v>
      </c>
      <c r="D553" t="s">
        <v>54</v>
      </c>
      <c r="E553" t="s">
        <v>303</v>
      </c>
      <c r="F553" t="s">
        <v>304</v>
      </c>
      <c r="G553" t="s">
        <v>258</v>
      </c>
      <c r="H553" t="s">
        <v>259</v>
      </c>
      <c r="J553" t="s">
        <v>156</v>
      </c>
      <c r="K553" t="s">
        <v>1</v>
      </c>
      <c r="L553">
        <v>27453</v>
      </c>
      <c r="M553">
        <v>31</v>
      </c>
      <c r="N553">
        <v>5</v>
      </c>
      <c r="O553">
        <v>538.87300000000005</v>
      </c>
      <c r="P553">
        <v>35.4</v>
      </c>
      <c r="Q553">
        <v>30</v>
      </c>
      <c r="R553">
        <v>2</v>
      </c>
      <c r="S553" t="s">
        <v>116</v>
      </c>
      <c r="T553">
        <v>3</v>
      </c>
      <c r="U553">
        <v>2</v>
      </c>
      <c r="V553">
        <v>0</v>
      </c>
      <c r="W553">
        <v>0</v>
      </c>
      <c r="X553">
        <v>0</v>
      </c>
      <c r="Y553" s="20">
        <f>SUM(Table1[[#This Row],[dty_type_cnt1]:[dty_type_cnt5]])</f>
        <v>5</v>
      </c>
    </row>
    <row r="554" spans="1:25" x14ac:dyDescent="0.25">
      <c r="A554" s="15">
        <v>46106</v>
      </c>
      <c r="B554" t="s">
        <v>430</v>
      </c>
      <c r="C554" t="s">
        <v>256</v>
      </c>
      <c r="D554" t="s">
        <v>54</v>
      </c>
      <c r="E554" t="s">
        <v>181</v>
      </c>
      <c r="F554" t="s">
        <v>182</v>
      </c>
      <c r="G554" t="s">
        <v>258</v>
      </c>
      <c r="H554" t="s">
        <v>259</v>
      </c>
      <c r="J554" t="s">
        <v>156</v>
      </c>
      <c r="K554" t="s">
        <v>1</v>
      </c>
      <c r="L554">
        <v>27453</v>
      </c>
      <c r="M554">
        <v>37</v>
      </c>
      <c r="N554">
        <v>6</v>
      </c>
      <c r="O554">
        <v>795.42499999999995</v>
      </c>
      <c r="P554">
        <v>75.5</v>
      </c>
      <c r="Q554">
        <v>20</v>
      </c>
      <c r="R554">
        <v>3</v>
      </c>
      <c r="S554" t="s">
        <v>116</v>
      </c>
      <c r="T554">
        <v>2</v>
      </c>
      <c r="U554">
        <v>3</v>
      </c>
      <c r="V554">
        <v>0</v>
      </c>
      <c r="W554">
        <v>0</v>
      </c>
      <c r="X554">
        <v>0</v>
      </c>
      <c r="Y554" s="20">
        <f>SUM(Table1[[#This Row],[dty_type_cnt1]:[dty_type_cnt5]])</f>
        <v>5</v>
      </c>
    </row>
    <row r="555" spans="1:25" x14ac:dyDescent="0.25">
      <c r="A555" s="15">
        <v>46106</v>
      </c>
      <c r="B555" t="s">
        <v>430</v>
      </c>
      <c r="C555" t="s">
        <v>256</v>
      </c>
      <c r="D555" t="s">
        <v>54</v>
      </c>
      <c r="E555" t="s">
        <v>305</v>
      </c>
      <c r="F555" t="s">
        <v>306</v>
      </c>
      <c r="G555" t="s">
        <v>258</v>
      </c>
      <c r="H555" t="s">
        <v>259</v>
      </c>
      <c r="J555" t="s">
        <v>156</v>
      </c>
      <c r="K555" t="s">
        <v>1</v>
      </c>
      <c r="L555">
        <v>27453</v>
      </c>
      <c r="M555">
        <v>46</v>
      </c>
      <c r="N555">
        <v>13</v>
      </c>
      <c r="O555">
        <v>773.54899999999998</v>
      </c>
      <c r="P555">
        <v>89.6</v>
      </c>
      <c r="Q555">
        <v>20</v>
      </c>
      <c r="R555">
        <v>5</v>
      </c>
      <c r="S555" t="s">
        <v>116</v>
      </c>
      <c r="T555">
        <v>3</v>
      </c>
      <c r="U555">
        <v>3</v>
      </c>
      <c r="V555">
        <v>2</v>
      </c>
      <c r="W555">
        <v>0</v>
      </c>
      <c r="X555">
        <v>0</v>
      </c>
      <c r="Y555" s="20">
        <f>SUM(Table1[[#This Row],[dty_type_cnt1]:[dty_type_cnt5]])</f>
        <v>8</v>
      </c>
    </row>
    <row r="556" spans="1:25" x14ac:dyDescent="0.25">
      <c r="A556" s="15">
        <v>46106</v>
      </c>
      <c r="B556" t="s">
        <v>430</v>
      </c>
      <c r="C556" t="s">
        <v>256</v>
      </c>
      <c r="D556" t="s">
        <v>54</v>
      </c>
      <c r="E556" t="s">
        <v>307</v>
      </c>
      <c r="F556" t="s">
        <v>308</v>
      </c>
      <c r="G556" t="s">
        <v>258</v>
      </c>
      <c r="H556" t="s">
        <v>259</v>
      </c>
      <c r="J556" t="s">
        <v>156</v>
      </c>
      <c r="K556" t="s">
        <v>1</v>
      </c>
      <c r="L556">
        <v>27453</v>
      </c>
      <c r="M556">
        <v>47</v>
      </c>
      <c r="N556">
        <v>14</v>
      </c>
      <c r="O556">
        <v>1359.6220000000001</v>
      </c>
      <c r="P556">
        <v>95.5</v>
      </c>
      <c r="Q556">
        <v>20</v>
      </c>
      <c r="R556">
        <v>5</v>
      </c>
      <c r="S556" t="s">
        <v>116</v>
      </c>
      <c r="T556">
        <v>5</v>
      </c>
      <c r="U556">
        <v>5</v>
      </c>
      <c r="V556">
        <v>2</v>
      </c>
      <c r="W556">
        <v>0</v>
      </c>
      <c r="X556">
        <v>0</v>
      </c>
      <c r="Y556" s="20">
        <f>SUM(Table1[[#This Row],[dty_type_cnt1]:[dty_type_cnt5]])</f>
        <v>12</v>
      </c>
    </row>
    <row r="557" spans="1:25" x14ac:dyDescent="0.25">
      <c r="A557" s="15">
        <v>46106</v>
      </c>
      <c r="B557" t="s">
        <v>430</v>
      </c>
      <c r="C557" t="s">
        <v>256</v>
      </c>
      <c r="D557" t="s">
        <v>54</v>
      </c>
      <c r="E557" t="s">
        <v>309</v>
      </c>
      <c r="F557" t="s">
        <v>310</v>
      </c>
      <c r="G557" t="s">
        <v>258</v>
      </c>
      <c r="H557" t="s">
        <v>259</v>
      </c>
      <c r="J557" t="s">
        <v>156</v>
      </c>
      <c r="K557" t="s">
        <v>1</v>
      </c>
      <c r="L557">
        <v>27453</v>
      </c>
      <c r="M557">
        <v>60</v>
      </c>
      <c r="N557">
        <v>20</v>
      </c>
      <c r="O557">
        <v>1885.402</v>
      </c>
      <c r="P557">
        <v>148.1</v>
      </c>
      <c r="Q557">
        <v>15</v>
      </c>
      <c r="R557">
        <v>8</v>
      </c>
      <c r="S557" t="s">
        <v>116</v>
      </c>
      <c r="T557">
        <v>6</v>
      </c>
      <c r="U557">
        <v>7</v>
      </c>
      <c r="V557">
        <v>1</v>
      </c>
      <c r="W557">
        <v>0</v>
      </c>
      <c r="X557">
        <v>0</v>
      </c>
      <c r="Y557" s="20">
        <f>SUM(Table1[[#This Row],[dty_type_cnt1]:[dty_type_cnt5]])</f>
        <v>14</v>
      </c>
    </row>
    <row r="558" spans="1:25" x14ac:dyDescent="0.25">
      <c r="A558" s="15">
        <v>46106</v>
      </c>
      <c r="B558" t="s">
        <v>430</v>
      </c>
      <c r="C558" t="s">
        <v>256</v>
      </c>
      <c r="D558" t="s">
        <v>54</v>
      </c>
      <c r="E558" t="s">
        <v>311</v>
      </c>
      <c r="F558" t="s">
        <v>312</v>
      </c>
      <c r="G558" t="s">
        <v>258</v>
      </c>
      <c r="H558" t="s">
        <v>259</v>
      </c>
      <c r="J558" t="s">
        <v>156</v>
      </c>
      <c r="K558" t="s">
        <v>1</v>
      </c>
      <c r="L558">
        <v>27453</v>
      </c>
      <c r="M558">
        <v>74</v>
      </c>
      <c r="N558">
        <v>18</v>
      </c>
      <c r="O558">
        <v>943.41899999999998</v>
      </c>
      <c r="P558">
        <v>200.5</v>
      </c>
      <c r="Q558">
        <v>10</v>
      </c>
      <c r="R558">
        <v>6</v>
      </c>
      <c r="S558" t="s">
        <v>116</v>
      </c>
      <c r="T558">
        <v>6</v>
      </c>
      <c r="U558">
        <v>4</v>
      </c>
      <c r="V558">
        <v>2</v>
      </c>
      <c r="W558">
        <v>0</v>
      </c>
      <c r="X558">
        <v>0</v>
      </c>
      <c r="Y558" s="20">
        <f>SUM(Table1[[#This Row],[dty_type_cnt1]:[dty_type_cnt5]])</f>
        <v>12</v>
      </c>
    </row>
    <row r="559" spans="1:25" x14ac:dyDescent="0.25">
      <c r="A559" s="15">
        <v>46106</v>
      </c>
      <c r="B559" t="s">
        <v>430</v>
      </c>
      <c r="C559" t="s">
        <v>256</v>
      </c>
      <c r="D559" t="s">
        <v>54</v>
      </c>
      <c r="E559" t="s">
        <v>99</v>
      </c>
      <c r="F559" t="s">
        <v>100</v>
      </c>
      <c r="G559" t="s">
        <v>258</v>
      </c>
      <c r="H559" t="s">
        <v>259</v>
      </c>
      <c r="J559" t="s">
        <v>63</v>
      </c>
      <c r="K559" t="s">
        <v>1</v>
      </c>
      <c r="L559">
        <v>27453</v>
      </c>
      <c r="M559">
        <v>20</v>
      </c>
      <c r="N559">
        <v>4</v>
      </c>
      <c r="O559">
        <v>274.52</v>
      </c>
      <c r="P559">
        <v>0.4</v>
      </c>
      <c r="Q559">
        <v>20</v>
      </c>
      <c r="R559">
        <v>2</v>
      </c>
      <c r="S559" t="s">
        <v>116</v>
      </c>
      <c r="T559">
        <v>2</v>
      </c>
      <c r="U559">
        <v>2</v>
      </c>
      <c r="V559">
        <v>0</v>
      </c>
      <c r="W559">
        <v>0</v>
      </c>
      <c r="X559">
        <v>0</v>
      </c>
      <c r="Y559" s="20">
        <f>SUM(Table1[[#This Row],[dty_type_cnt1]:[dty_type_cnt5]])</f>
        <v>4</v>
      </c>
    </row>
    <row r="560" spans="1:25" x14ac:dyDescent="0.25">
      <c r="A560" s="15">
        <v>46106</v>
      </c>
      <c r="B560" t="s">
        <v>430</v>
      </c>
      <c r="C560" t="s">
        <v>256</v>
      </c>
      <c r="D560" t="s">
        <v>46</v>
      </c>
      <c r="E560" t="s">
        <v>313</v>
      </c>
      <c r="F560" t="s">
        <v>314</v>
      </c>
      <c r="G560" t="s">
        <v>258</v>
      </c>
      <c r="H560" t="s">
        <v>259</v>
      </c>
      <c r="J560" t="s">
        <v>156</v>
      </c>
      <c r="K560" t="s">
        <v>1</v>
      </c>
      <c r="L560">
        <v>27453</v>
      </c>
      <c r="M560">
        <v>56</v>
      </c>
      <c r="N560">
        <v>22</v>
      </c>
      <c r="O560">
        <v>2215.08</v>
      </c>
      <c r="P560">
        <v>140.6</v>
      </c>
      <c r="Q560">
        <v>20</v>
      </c>
      <c r="R560">
        <v>10</v>
      </c>
      <c r="S560" t="s">
        <v>116</v>
      </c>
      <c r="T560">
        <v>9</v>
      </c>
      <c r="U560">
        <v>7</v>
      </c>
      <c r="V560">
        <v>4</v>
      </c>
      <c r="W560">
        <v>0</v>
      </c>
      <c r="X560">
        <v>0</v>
      </c>
      <c r="Y560" s="20">
        <f>SUM(Table1[[#This Row],[dty_type_cnt1]:[dty_type_cnt5]])</f>
        <v>20</v>
      </c>
    </row>
    <row r="561" spans="1:25" x14ac:dyDescent="0.25">
      <c r="A561" s="15">
        <v>46106</v>
      </c>
      <c r="B561" t="s">
        <v>430</v>
      </c>
      <c r="C561" t="s">
        <v>256</v>
      </c>
      <c r="D561" t="s">
        <v>55</v>
      </c>
      <c r="E561" t="s">
        <v>315</v>
      </c>
      <c r="F561" t="s">
        <v>316</v>
      </c>
      <c r="G561" t="s">
        <v>258</v>
      </c>
      <c r="H561" t="s">
        <v>259</v>
      </c>
      <c r="J561" t="s">
        <v>156</v>
      </c>
      <c r="K561" t="s">
        <v>1</v>
      </c>
      <c r="L561">
        <v>27453</v>
      </c>
      <c r="M561">
        <v>18</v>
      </c>
      <c r="N561">
        <v>2</v>
      </c>
      <c r="O561">
        <v>384.87400000000002</v>
      </c>
      <c r="P561">
        <v>23.9</v>
      </c>
      <c r="Q561">
        <v>60</v>
      </c>
      <c r="R561">
        <v>1</v>
      </c>
      <c r="S561" t="s">
        <v>116</v>
      </c>
      <c r="T561">
        <v>1</v>
      </c>
      <c r="U561">
        <v>1</v>
      </c>
      <c r="V561">
        <v>0</v>
      </c>
      <c r="W561">
        <v>0</v>
      </c>
      <c r="X561">
        <v>0</v>
      </c>
      <c r="Y561" s="20">
        <f>SUM(Table1[[#This Row],[dty_type_cnt1]:[dty_type_cnt5]])</f>
        <v>2</v>
      </c>
    </row>
    <row r="562" spans="1:25" x14ac:dyDescent="0.25">
      <c r="A562" s="15">
        <v>46106</v>
      </c>
      <c r="B562" t="s">
        <v>430</v>
      </c>
      <c r="C562" t="s">
        <v>256</v>
      </c>
      <c r="D562" t="s">
        <v>49</v>
      </c>
      <c r="E562" t="s">
        <v>250</v>
      </c>
      <c r="F562" t="s">
        <v>251</v>
      </c>
      <c r="G562" t="s">
        <v>258</v>
      </c>
      <c r="H562" t="s">
        <v>259</v>
      </c>
      <c r="J562" t="s">
        <v>0</v>
      </c>
      <c r="K562" t="s">
        <v>1</v>
      </c>
      <c r="L562">
        <v>27453</v>
      </c>
      <c r="M562">
        <v>59</v>
      </c>
      <c r="N562">
        <v>13</v>
      </c>
      <c r="O562">
        <v>1364.2719999999999</v>
      </c>
      <c r="P562">
        <v>194.1</v>
      </c>
      <c r="Q562">
        <v>20</v>
      </c>
      <c r="R562">
        <v>7</v>
      </c>
      <c r="S562" t="s">
        <v>116</v>
      </c>
      <c r="T562">
        <v>7</v>
      </c>
      <c r="U562">
        <v>5</v>
      </c>
      <c r="V562">
        <v>2</v>
      </c>
      <c r="W562">
        <v>0</v>
      </c>
      <c r="X562">
        <v>0</v>
      </c>
      <c r="Y562" s="20">
        <f>SUM(Table1[[#This Row],[dty_type_cnt1]:[dty_type_cnt5]])</f>
        <v>14</v>
      </c>
    </row>
    <row r="563" spans="1:25" x14ac:dyDescent="0.25">
      <c r="A563" s="15">
        <v>46106</v>
      </c>
      <c r="B563" t="s">
        <v>430</v>
      </c>
      <c r="C563" t="s">
        <v>256</v>
      </c>
      <c r="D563" t="s">
        <v>49</v>
      </c>
      <c r="E563" t="s">
        <v>104</v>
      </c>
      <c r="F563" t="s">
        <v>134</v>
      </c>
      <c r="G563" t="s">
        <v>258</v>
      </c>
      <c r="H563" t="s">
        <v>259</v>
      </c>
      <c r="J563" t="s">
        <v>0</v>
      </c>
      <c r="K563" t="s">
        <v>1</v>
      </c>
      <c r="L563">
        <v>27453</v>
      </c>
      <c r="M563">
        <v>30</v>
      </c>
      <c r="N563">
        <v>6</v>
      </c>
      <c r="O563">
        <v>930.41700000000003</v>
      </c>
      <c r="P563">
        <v>0.6</v>
      </c>
      <c r="Q563">
        <v>20</v>
      </c>
      <c r="R563">
        <v>3</v>
      </c>
      <c r="S563" t="s">
        <v>116</v>
      </c>
      <c r="T563">
        <v>3</v>
      </c>
      <c r="U563">
        <v>3</v>
      </c>
      <c r="V563">
        <v>0</v>
      </c>
      <c r="W563">
        <v>0</v>
      </c>
      <c r="X563">
        <v>0</v>
      </c>
      <c r="Y563" s="20">
        <f>SUM(Table1[[#This Row],[dty_type_cnt1]:[dty_type_cnt5]])</f>
        <v>6</v>
      </c>
    </row>
    <row r="564" spans="1:25" x14ac:dyDescent="0.25">
      <c r="A564" s="15">
        <v>46106</v>
      </c>
      <c r="B564" t="s">
        <v>430</v>
      </c>
      <c r="C564" t="s">
        <v>256</v>
      </c>
      <c r="D564" t="s">
        <v>49</v>
      </c>
      <c r="E564" t="s">
        <v>105</v>
      </c>
      <c r="F564" t="s">
        <v>152</v>
      </c>
      <c r="G564" t="s">
        <v>258</v>
      </c>
      <c r="H564" t="s">
        <v>259</v>
      </c>
      <c r="J564" t="s">
        <v>76</v>
      </c>
      <c r="K564" t="s">
        <v>1</v>
      </c>
      <c r="L564">
        <v>27453</v>
      </c>
      <c r="M564">
        <v>12</v>
      </c>
      <c r="N564">
        <v>2</v>
      </c>
      <c r="O564">
        <v>371.58600000000001</v>
      </c>
      <c r="P564">
        <v>6.5</v>
      </c>
      <c r="Q564">
        <v>20</v>
      </c>
      <c r="R564">
        <v>1</v>
      </c>
      <c r="S564" t="s">
        <v>116</v>
      </c>
      <c r="T564">
        <v>1</v>
      </c>
      <c r="U564">
        <v>1</v>
      </c>
      <c r="V564">
        <v>0</v>
      </c>
      <c r="W564">
        <v>0</v>
      </c>
      <c r="X564">
        <v>0</v>
      </c>
      <c r="Y564" s="20">
        <f>SUM(Table1[[#This Row],[dty_type_cnt1]:[dty_type_cnt5]])</f>
        <v>2</v>
      </c>
    </row>
    <row r="565" spans="1:25" x14ac:dyDescent="0.25">
      <c r="A565" s="15">
        <v>46106</v>
      </c>
      <c r="B565" t="s">
        <v>430</v>
      </c>
      <c r="C565" t="s">
        <v>256</v>
      </c>
      <c r="D565" t="s">
        <v>49</v>
      </c>
      <c r="E565" t="s">
        <v>254</v>
      </c>
      <c r="F565" t="s">
        <v>255</v>
      </c>
      <c r="G565" t="s">
        <v>258</v>
      </c>
      <c r="H565" t="s">
        <v>259</v>
      </c>
      <c r="J565" t="s">
        <v>156</v>
      </c>
      <c r="K565" t="s">
        <v>1</v>
      </c>
      <c r="L565">
        <v>27453</v>
      </c>
      <c r="M565">
        <v>30</v>
      </c>
      <c r="N565">
        <v>9</v>
      </c>
      <c r="O565">
        <v>871.06500000000005</v>
      </c>
      <c r="P565">
        <v>148.9</v>
      </c>
      <c r="Q565">
        <v>30</v>
      </c>
      <c r="R565">
        <v>4</v>
      </c>
      <c r="S565" t="s">
        <v>116</v>
      </c>
      <c r="T565">
        <v>4</v>
      </c>
      <c r="U565">
        <v>5</v>
      </c>
      <c r="V565">
        <v>0</v>
      </c>
      <c r="W565">
        <v>0</v>
      </c>
      <c r="X565">
        <v>0</v>
      </c>
      <c r="Y565" s="20">
        <f>SUM(Table1[[#This Row],[dty_type_cnt1]:[dty_type_cnt5]])</f>
        <v>9</v>
      </c>
    </row>
    <row r="566" spans="1:25" x14ac:dyDescent="0.25">
      <c r="A566" s="15">
        <v>46106</v>
      </c>
      <c r="B566" t="s">
        <v>430</v>
      </c>
      <c r="C566" t="s">
        <v>256</v>
      </c>
      <c r="D566" t="s">
        <v>49</v>
      </c>
      <c r="E566" t="s">
        <v>231</v>
      </c>
      <c r="F566" t="s">
        <v>232</v>
      </c>
      <c r="G566" t="s">
        <v>258</v>
      </c>
      <c r="H566" t="s">
        <v>259</v>
      </c>
      <c r="J566" t="s">
        <v>0</v>
      </c>
      <c r="K566" t="s">
        <v>1</v>
      </c>
      <c r="L566">
        <v>27453</v>
      </c>
      <c r="M566">
        <v>24</v>
      </c>
      <c r="N566">
        <v>4</v>
      </c>
      <c r="O566">
        <v>1180.8</v>
      </c>
      <c r="P566">
        <v>0.4</v>
      </c>
      <c r="Q566">
        <v>30</v>
      </c>
      <c r="R566">
        <v>2</v>
      </c>
      <c r="S566" t="s">
        <v>116</v>
      </c>
      <c r="T566">
        <v>2</v>
      </c>
      <c r="U566">
        <v>2</v>
      </c>
      <c r="V566">
        <v>0</v>
      </c>
      <c r="W566">
        <v>0</v>
      </c>
      <c r="X566">
        <v>0</v>
      </c>
      <c r="Y566" s="20">
        <f>SUM(Table1[[#This Row],[dty_type_cnt1]:[dty_type_cnt5]])</f>
        <v>4</v>
      </c>
    </row>
    <row r="567" spans="1:25" x14ac:dyDescent="0.25">
      <c r="A567" s="15">
        <v>46106</v>
      </c>
      <c r="B567" t="s">
        <v>430</v>
      </c>
      <c r="C567" t="s">
        <v>256</v>
      </c>
      <c r="D567" t="s">
        <v>46</v>
      </c>
      <c r="E567">
        <v>7</v>
      </c>
      <c r="F567" t="s">
        <v>257</v>
      </c>
      <c r="G567" t="s">
        <v>258</v>
      </c>
      <c r="H567" t="s">
        <v>259</v>
      </c>
      <c r="J567" t="s">
        <v>156</v>
      </c>
      <c r="K567" t="s">
        <v>2</v>
      </c>
      <c r="L567">
        <v>27452</v>
      </c>
      <c r="M567">
        <v>105</v>
      </c>
      <c r="N567">
        <v>28</v>
      </c>
      <c r="O567">
        <v>1798.665</v>
      </c>
      <c r="P567">
        <v>197.5</v>
      </c>
      <c r="Q567">
        <v>15</v>
      </c>
      <c r="R567">
        <v>10</v>
      </c>
      <c r="S567" t="s">
        <v>116</v>
      </c>
      <c r="T567">
        <v>10</v>
      </c>
      <c r="U567">
        <v>6</v>
      </c>
      <c r="V567">
        <v>4</v>
      </c>
      <c r="W567">
        <v>0</v>
      </c>
      <c r="X567">
        <v>0</v>
      </c>
      <c r="Y567" s="20">
        <f>SUM(Table1[[#This Row],[dty_type_cnt1]:[dty_type_cnt5]])</f>
        <v>20</v>
      </c>
    </row>
    <row r="568" spans="1:25" x14ac:dyDescent="0.25">
      <c r="A568" s="15">
        <v>46106</v>
      </c>
      <c r="B568" t="s">
        <v>430</v>
      </c>
      <c r="C568" t="s">
        <v>256</v>
      </c>
      <c r="D568" t="s">
        <v>46</v>
      </c>
      <c r="E568">
        <v>8</v>
      </c>
      <c r="F568" t="s">
        <v>61</v>
      </c>
      <c r="G568" t="s">
        <v>258</v>
      </c>
      <c r="H568" t="s">
        <v>259</v>
      </c>
      <c r="J568" t="s">
        <v>0</v>
      </c>
      <c r="K568" t="s">
        <v>2</v>
      </c>
      <c r="L568">
        <v>27452</v>
      </c>
      <c r="M568">
        <v>24</v>
      </c>
      <c r="N568">
        <v>10</v>
      </c>
      <c r="O568">
        <v>899.73299999999995</v>
      </c>
      <c r="P568">
        <v>176.2</v>
      </c>
      <c r="Q568">
        <v>20</v>
      </c>
      <c r="R568">
        <v>4</v>
      </c>
      <c r="S568" t="s">
        <v>116</v>
      </c>
      <c r="T568">
        <v>3</v>
      </c>
      <c r="U568">
        <v>4</v>
      </c>
      <c r="V568">
        <v>0</v>
      </c>
      <c r="W568">
        <v>0</v>
      </c>
      <c r="X568">
        <v>0</v>
      </c>
      <c r="Y568" s="20">
        <f>SUM(Table1[[#This Row],[dty_type_cnt1]:[dty_type_cnt5]])</f>
        <v>7</v>
      </c>
    </row>
    <row r="569" spans="1:25" x14ac:dyDescent="0.25">
      <c r="A569" s="15">
        <v>46106</v>
      </c>
      <c r="B569" t="s">
        <v>430</v>
      </c>
      <c r="C569" t="s">
        <v>256</v>
      </c>
      <c r="D569" t="s">
        <v>46</v>
      </c>
      <c r="E569">
        <v>9</v>
      </c>
      <c r="F569" t="s">
        <v>260</v>
      </c>
      <c r="G569" t="s">
        <v>258</v>
      </c>
      <c r="H569" t="s">
        <v>259</v>
      </c>
      <c r="J569" t="s">
        <v>156</v>
      </c>
      <c r="K569" t="s">
        <v>2</v>
      </c>
      <c r="L569">
        <v>27452</v>
      </c>
      <c r="M569">
        <v>107</v>
      </c>
      <c r="N569">
        <v>10</v>
      </c>
      <c r="O569">
        <v>1264.242</v>
      </c>
      <c r="P569">
        <v>125.4</v>
      </c>
      <c r="Q569">
        <v>20</v>
      </c>
      <c r="R569">
        <v>5</v>
      </c>
      <c r="S569" t="s">
        <v>116</v>
      </c>
      <c r="T569">
        <v>8</v>
      </c>
      <c r="U569">
        <v>2</v>
      </c>
      <c r="V569">
        <v>3</v>
      </c>
      <c r="W569">
        <v>0</v>
      </c>
      <c r="X569">
        <v>0</v>
      </c>
      <c r="Y569" s="20">
        <f>SUM(Table1[[#This Row],[dty_type_cnt1]:[dty_type_cnt5]])</f>
        <v>13</v>
      </c>
    </row>
    <row r="570" spans="1:25" x14ac:dyDescent="0.25">
      <c r="A570" s="15">
        <v>46106</v>
      </c>
      <c r="B570" t="s">
        <v>430</v>
      </c>
      <c r="C570" t="s">
        <v>256</v>
      </c>
      <c r="D570" t="s">
        <v>46</v>
      </c>
      <c r="E570">
        <v>10</v>
      </c>
      <c r="F570" t="s">
        <v>261</v>
      </c>
      <c r="G570" t="s">
        <v>258</v>
      </c>
      <c r="H570" t="s">
        <v>259</v>
      </c>
      <c r="J570" t="s">
        <v>156</v>
      </c>
      <c r="K570" t="s">
        <v>2</v>
      </c>
      <c r="L570">
        <v>27452</v>
      </c>
      <c r="M570">
        <v>62</v>
      </c>
      <c r="N570">
        <v>10</v>
      </c>
      <c r="O570">
        <v>1572.9590000000001</v>
      </c>
      <c r="P570">
        <v>128.1</v>
      </c>
      <c r="Q570">
        <v>30</v>
      </c>
      <c r="R570">
        <v>5</v>
      </c>
      <c r="S570" t="s">
        <v>116</v>
      </c>
      <c r="T570">
        <v>7</v>
      </c>
      <c r="U570">
        <v>3</v>
      </c>
      <c r="V570">
        <v>2</v>
      </c>
      <c r="W570">
        <v>0</v>
      </c>
      <c r="X570">
        <v>0</v>
      </c>
      <c r="Y570" s="20">
        <f>SUM(Table1[[#This Row],[dty_type_cnt1]:[dty_type_cnt5]])</f>
        <v>12</v>
      </c>
    </row>
    <row r="571" spans="1:25" x14ac:dyDescent="0.25">
      <c r="A571" s="15">
        <v>46106</v>
      </c>
      <c r="B571" t="s">
        <v>430</v>
      </c>
      <c r="C571" t="s">
        <v>256</v>
      </c>
      <c r="D571" t="s">
        <v>406</v>
      </c>
      <c r="E571">
        <v>105</v>
      </c>
      <c r="F571" t="s">
        <v>263</v>
      </c>
      <c r="G571" t="s">
        <v>258</v>
      </c>
      <c r="H571" t="s">
        <v>259</v>
      </c>
      <c r="J571" t="s">
        <v>156</v>
      </c>
      <c r="K571" t="s">
        <v>2</v>
      </c>
      <c r="L571">
        <v>27452</v>
      </c>
      <c r="M571">
        <v>68</v>
      </c>
      <c r="N571">
        <v>8</v>
      </c>
      <c r="O571">
        <v>771.12</v>
      </c>
      <c r="P571">
        <v>51.2</v>
      </c>
      <c r="Q571">
        <v>20</v>
      </c>
      <c r="R571">
        <v>4</v>
      </c>
      <c r="S571" t="s">
        <v>116</v>
      </c>
      <c r="T571">
        <v>4</v>
      </c>
      <c r="U571">
        <v>4</v>
      </c>
      <c r="V571">
        <v>0</v>
      </c>
      <c r="W571">
        <v>0</v>
      </c>
      <c r="X571">
        <v>0</v>
      </c>
      <c r="Y571" s="20">
        <f>SUM(Table1[[#This Row],[dty_type_cnt1]:[dty_type_cnt5]])</f>
        <v>8</v>
      </c>
    </row>
    <row r="572" spans="1:25" x14ac:dyDescent="0.25">
      <c r="A572" s="15">
        <v>46106</v>
      </c>
      <c r="B572" t="s">
        <v>430</v>
      </c>
      <c r="C572" t="s">
        <v>256</v>
      </c>
      <c r="D572" t="s">
        <v>46</v>
      </c>
      <c r="E572">
        <v>110</v>
      </c>
      <c r="F572" t="s">
        <v>264</v>
      </c>
      <c r="G572" t="s">
        <v>258</v>
      </c>
      <c r="H572" t="s">
        <v>259</v>
      </c>
      <c r="J572" t="s">
        <v>156</v>
      </c>
      <c r="K572" t="s">
        <v>2</v>
      </c>
      <c r="L572">
        <v>27452</v>
      </c>
      <c r="M572">
        <v>68</v>
      </c>
      <c r="N572">
        <v>2</v>
      </c>
      <c r="O572">
        <v>203.524</v>
      </c>
      <c r="P572">
        <v>10.3</v>
      </c>
      <c r="Q572">
        <v>30</v>
      </c>
      <c r="R572">
        <v>1</v>
      </c>
      <c r="S572" t="s">
        <v>116</v>
      </c>
      <c r="T572">
        <v>1</v>
      </c>
      <c r="U572">
        <v>1</v>
      </c>
      <c r="V572">
        <v>0</v>
      </c>
      <c r="W572">
        <v>0</v>
      </c>
      <c r="X572">
        <v>0</v>
      </c>
      <c r="Y572" s="20">
        <f>SUM(Table1[[#This Row],[dty_type_cnt1]:[dty_type_cnt5]])</f>
        <v>2</v>
      </c>
    </row>
    <row r="573" spans="1:25" x14ac:dyDescent="0.25">
      <c r="A573" s="15">
        <v>46106</v>
      </c>
      <c r="B573" t="s">
        <v>430</v>
      </c>
      <c r="C573" t="s">
        <v>256</v>
      </c>
      <c r="D573" t="s">
        <v>46</v>
      </c>
      <c r="E573">
        <v>12</v>
      </c>
      <c r="F573" t="s">
        <v>265</v>
      </c>
      <c r="G573" t="s">
        <v>258</v>
      </c>
      <c r="H573" t="s">
        <v>259</v>
      </c>
      <c r="J573" t="s">
        <v>0</v>
      </c>
      <c r="K573" t="s">
        <v>2</v>
      </c>
      <c r="L573">
        <v>27452</v>
      </c>
      <c r="M573">
        <v>82</v>
      </c>
      <c r="N573">
        <v>16</v>
      </c>
      <c r="O573">
        <v>2311.83</v>
      </c>
      <c r="P573">
        <v>116.6</v>
      </c>
      <c r="Q573">
        <v>25</v>
      </c>
      <c r="R573">
        <v>8</v>
      </c>
      <c r="S573" t="s">
        <v>116</v>
      </c>
      <c r="T573">
        <v>9</v>
      </c>
      <c r="U573">
        <v>6</v>
      </c>
      <c r="V573">
        <v>2</v>
      </c>
      <c r="W573">
        <v>0</v>
      </c>
      <c r="X573">
        <v>0</v>
      </c>
      <c r="Y573" s="20">
        <f>SUM(Table1[[#This Row],[dty_type_cnt1]:[dty_type_cnt5]])</f>
        <v>17</v>
      </c>
    </row>
    <row r="574" spans="1:25" x14ac:dyDescent="0.25">
      <c r="A574" s="15">
        <v>46106</v>
      </c>
      <c r="B574" t="s">
        <v>430</v>
      </c>
      <c r="C574" t="s">
        <v>256</v>
      </c>
      <c r="D574" t="s">
        <v>46</v>
      </c>
      <c r="E574">
        <v>14</v>
      </c>
      <c r="F574" t="s">
        <v>317</v>
      </c>
      <c r="G574" t="s">
        <v>258</v>
      </c>
      <c r="H574" t="s">
        <v>259</v>
      </c>
      <c r="J574" t="s">
        <v>156</v>
      </c>
      <c r="K574" t="s">
        <v>2</v>
      </c>
      <c r="L574">
        <v>27452</v>
      </c>
      <c r="M574">
        <v>79</v>
      </c>
      <c r="N574">
        <v>14</v>
      </c>
      <c r="O574">
        <v>1041.242</v>
      </c>
      <c r="P574">
        <v>188.4</v>
      </c>
      <c r="Q574">
        <v>20</v>
      </c>
      <c r="R574">
        <v>6</v>
      </c>
      <c r="S574" t="s">
        <v>116</v>
      </c>
      <c r="T574">
        <v>6</v>
      </c>
      <c r="U574">
        <v>4</v>
      </c>
      <c r="V574">
        <v>2</v>
      </c>
      <c r="W574">
        <v>0</v>
      </c>
      <c r="X574">
        <v>0</v>
      </c>
      <c r="Y574" s="20">
        <f>SUM(Table1[[#This Row],[dty_type_cnt1]:[dty_type_cnt5]])</f>
        <v>12</v>
      </c>
    </row>
    <row r="575" spans="1:25" x14ac:dyDescent="0.25">
      <c r="A575" s="15">
        <v>46106</v>
      </c>
      <c r="B575" t="s">
        <v>430</v>
      </c>
      <c r="C575" t="s">
        <v>256</v>
      </c>
      <c r="D575" t="s">
        <v>46</v>
      </c>
      <c r="E575">
        <v>15</v>
      </c>
      <c r="F575" t="s">
        <v>266</v>
      </c>
      <c r="G575" t="s">
        <v>258</v>
      </c>
      <c r="H575" t="s">
        <v>259</v>
      </c>
      <c r="J575" t="s">
        <v>0</v>
      </c>
      <c r="K575" t="s">
        <v>2</v>
      </c>
      <c r="L575">
        <v>27452</v>
      </c>
      <c r="M575">
        <v>88</v>
      </c>
      <c r="N575">
        <v>22</v>
      </c>
      <c r="O575">
        <v>2073.1660000000002</v>
      </c>
      <c r="P575">
        <v>182.1</v>
      </c>
      <c r="Q575">
        <v>20</v>
      </c>
      <c r="R575">
        <v>10</v>
      </c>
      <c r="S575" t="s">
        <v>116</v>
      </c>
      <c r="T575">
        <v>8</v>
      </c>
      <c r="U575">
        <v>10</v>
      </c>
      <c r="V575">
        <v>0</v>
      </c>
      <c r="W575">
        <v>0</v>
      </c>
      <c r="X575">
        <v>0</v>
      </c>
      <c r="Y575" s="20">
        <f>SUM(Table1[[#This Row],[dty_type_cnt1]:[dty_type_cnt5]])</f>
        <v>18</v>
      </c>
    </row>
    <row r="576" spans="1:25" x14ac:dyDescent="0.25">
      <c r="A576" s="15">
        <v>46106</v>
      </c>
      <c r="B576" t="s">
        <v>430</v>
      </c>
      <c r="C576" t="s">
        <v>256</v>
      </c>
      <c r="D576" t="s">
        <v>46</v>
      </c>
      <c r="E576" t="s">
        <v>267</v>
      </c>
      <c r="F576" t="s">
        <v>268</v>
      </c>
      <c r="G576" t="s">
        <v>258</v>
      </c>
      <c r="H576" t="s">
        <v>259</v>
      </c>
      <c r="J576" t="s">
        <v>156</v>
      </c>
      <c r="K576" t="s">
        <v>2</v>
      </c>
      <c r="L576">
        <v>27452</v>
      </c>
      <c r="M576">
        <v>42</v>
      </c>
      <c r="N576">
        <v>8</v>
      </c>
      <c r="O576">
        <v>830.97</v>
      </c>
      <c r="P576">
        <v>20.440000000000001</v>
      </c>
      <c r="Q576">
        <v>0</v>
      </c>
      <c r="R576">
        <v>4</v>
      </c>
      <c r="S576" t="s">
        <v>116</v>
      </c>
      <c r="T576">
        <v>4</v>
      </c>
      <c r="U576">
        <v>3</v>
      </c>
      <c r="V576">
        <v>0</v>
      </c>
      <c r="W576">
        <v>0</v>
      </c>
      <c r="X576">
        <v>0</v>
      </c>
      <c r="Y576" s="20">
        <f>SUM(Table1[[#This Row],[dty_type_cnt1]:[dty_type_cnt5]])</f>
        <v>7</v>
      </c>
    </row>
    <row r="577" spans="1:25" x14ac:dyDescent="0.25">
      <c r="A577" s="15">
        <v>46106</v>
      </c>
      <c r="B577" t="s">
        <v>430</v>
      </c>
      <c r="C577" t="s">
        <v>256</v>
      </c>
      <c r="D577" t="s">
        <v>46</v>
      </c>
      <c r="E577" t="s">
        <v>269</v>
      </c>
      <c r="F577" t="s">
        <v>265</v>
      </c>
      <c r="G577" t="s">
        <v>258</v>
      </c>
      <c r="H577" t="s">
        <v>259</v>
      </c>
      <c r="J577" t="s">
        <v>0</v>
      </c>
      <c r="K577" t="s">
        <v>2</v>
      </c>
      <c r="L577">
        <v>27452</v>
      </c>
      <c r="M577">
        <v>44</v>
      </c>
      <c r="N577">
        <v>12</v>
      </c>
      <c r="O577">
        <v>1101.452</v>
      </c>
      <c r="P577">
        <v>84.75</v>
      </c>
      <c r="Q577">
        <v>20</v>
      </c>
      <c r="R577">
        <v>4</v>
      </c>
      <c r="S577" t="s">
        <v>116</v>
      </c>
      <c r="T577">
        <v>4</v>
      </c>
      <c r="U577">
        <v>5</v>
      </c>
      <c r="V577">
        <v>2</v>
      </c>
      <c r="W577">
        <v>0</v>
      </c>
      <c r="X577">
        <v>0</v>
      </c>
      <c r="Y577" s="20">
        <f>SUM(Table1[[#This Row],[dty_type_cnt1]:[dty_type_cnt5]])</f>
        <v>11</v>
      </c>
    </row>
    <row r="578" spans="1:25" x14ac:dyDescent="0.25">
      <c r="A578" s="15">
        <v>46106</v>
      </c>
      <c r="B578" t="s">
        <v>430</v>
      </c>
      <c r="C578" t="s">
        <v>256</v>
      </c>
      <c r="D578" t="s">
        <v>46</v>
      </c>
      <c r="E578">
        <v>23</v>
      </c>
      <c r="F578" t="s">
        <v>318</v>
      </c>
      <c r="G578" t="s">
        <v>258</v>
      </c>
      <c r="H578" t="s">
        <v>259</v>
      </c>
      <c r="J578" t="s">
        <v>156</v>
      </c>
      <c r="K578" t="s">
        <v>2</v>
      </c>
      <c r="L578">
        <v>27452</v>
      </c>
      <c r="M578">
        <v>33</v>
      </c>
      <c r="N578">
        <v>8</v>
      </c>
      <c r="O578">
        <v>775.90300000000002</v>
      </c>
      <c r="P578">
        <v>82.8</v>
      </c>
      <c r="Q578">
        <v>30</v>
      </c>
      <c r="R578">
        <v>4</v>
      </c>
      <c r="S578" t="s">
        <v>116</v>
      </c>
      <c r="T578">
        <v>4</v>
      </c>
      <c r="U578">
        <v>3</v>
      </c>
      <c r="V578">
        <v>1</v>
      </c>
      <c r="W578">
        <v>0</v>
      </c>
      <c r="X578">
        <v>0</v>
      </c>
      <c r="Y578" s="20">
        <f>SUM(Table1[[#This Row],[dty_type_cnt1]:[dty_type_cnt5]])</f>
        <v>8</v>
      </c>
    </row>
    <row r="579" spans="1:25" x14ac:dyDescent="0.25">
      <c r="A579" s="15">
        <v>46106</v>
      </c>
      <c r="B579" t="s">
        <v>430</v>
      </c>
      <c r="C579" t="s">
        <v>256</v>
      </c>
      <c r="D579" t="s">
        <v>46</v>
      </c>
      <c r="E579">
        <v>27</v>
      </c>
      <c r="F579" t="s">
        <v>270</v>
      </c>
      <c r="G579" t="s">
        <v>258</v>
      </c>
      <c r="H579" t="s">
        <v>259</v>
      </c>
      <c r="J579" t="s">
        <v>156</v>
      </c>
      <c r="K579" t="s">
        <v>2</v>
      </c>
      <c r="L579">
        <v>27452</v>
      </c>
      <c r="M579">
        <v>23</v>
      </c>
      <c r="N579">
        <v>6</v>
      </c>
      <c r="O579">
        <v>460.63499999999999</v>
      </c>
      <c r="P579">
        <v>137.19999999999999</v>
      </c>
      <c r="Q579">
        <v>30</v>
      </c>
      <c r="R579">
        <v>3</v>
      </c>
      <c r="S579" t="s">
        <v>116</v>
      </c>
      <c r="T579">
        <v>2</v>
      </c>
      <c r="U579">
        <v>1</v>
      </c>
      <c r="V579">
        <v>2</v>
      </c>
      <c r="W579">
        <v>0</v>
      </c>
      <c r="X579">
        <v>0</v>
      </c>
      <c r="Y579" s="20">
        <f>SUM(Table1[[#This Row],[dty_type_cnt1]:[dty_type_cnt5]])</f>
        <v>5</v>
      </c>
    </row>
    <row r="580" spans="1:25" x14ac:dyDescent="0.25">
      <c r="A580" s="15">
        <v>46106</v>
      </c>
      <c r="B580" t="s">
        <v>430</v>
      </c>
      <c r="C580" t="s">
        <v>256</v>
      </c>
      <c r="D580" t="s">
        <v>46</v>
      </c>
      <c r="E580">
        <v>29</v>
      </c>
      <c r="F580" t="s">
        <v>271</v>
      </c>
      <c r="G580" t="s">
        <v>258</v>
      </c>
      <c r="H580" t="s">
        <v>259</v>
      </c>
      <c r="J580" t="s">
        <v>0</v>
      </c>
      <c r="K580" t="s">
        <v>2</v>
      </c>
      <c r="L580">
        <v>27452</v>
      </c>
      <c r="M580">
        <v>72</v>
      </c>
      <c r="N580">
        <v>12</v>
      </c>
      <c r="O580">
        <v>970.596</v>
      </c>
      <c r="P580">
        <v>187</v>
      </c>
      <c r="Q580">
        <v>30</v>
      </c>
      <c r="R580">
        <v>5</v>
      </c>
      <c r="S580" t="s">
        <v>116</v>
      </c>
      <c r="T580">
        <v>4</v>
      </c>
      <c r="U580">
        <v>4</v>
      </c>
      <c r="V580">
        <v>1</v>
      </c>
      <c r="W580">
        <v>0</v>
      </c>
      <c r="X580">
        <v>0</v>
      </c>
      <c r="Y580" s="20">
        <f>SUM(Table1[[#This Row],[dty_type_cnt1]:[dty_type_cnt5]])</f>
        <v>9</v>
      </c>
    </row>
    <row r="581" spans="1:25" x14ac:dyDescent="0.25">
      <c r="A581" s="15">
        <v>46106</v>
      </c>
      <c r="B581" t="s">
        <v>430</v>
      </c>
      <c r="C581" t="s">
        <v>256</v>
      </c>
      <c r="D581" t="s">
        <v>46</v>
      </c>
      <c r="E581">
        <v>33</v>
      </c>
      <c r="F581" t="s">
        <v>238</v>
      </c>
      <c r="G581" t="s">
        <v>258</v>
      </c>
      <c r="H581" t="s">
        <v>259</v>
      </c>
      <c r="J581" t="s">
        <v>0</v>
      </c>
      <c r="K581" t="s">
        <v>2</v>
      </c>
      <c r="L581">
        <v>27452</v>
      </c>
      <c r="M581">
        <v>36</v>
      </c>
      <c r="N581">
        <v>6</v>
      </c>
      <c r="O581">
        <v>1009.998</v>
      </c>
      <c r="P581">
        <v>19.5</v>
      </c>
      <c r="Q581">
        <v>30</v>
      </c>
      <c r="R581">
        <v>3</v>
      </c>
      <c r="S581" t="s">
        <v>116</v>
      </c>
      <c r="T581">
        <v>4</v>
      </c>
      <c r="U581">
        <v>2</v>
      </c>
      <c r="V581">
        <v>1</v>
      </c>
      <c r="W581">
        <v>0</v>
      </c>
      <c r="X581">
        <v>0</v>
      </c>
      <c r="Y581" s="20">
        <f>SUM(Table1[[#This Row],[dty_type_cnt1]:[dty_type_cnt5]])</f>
        <v>7</v>
      </c>
    </row>
    <row r="582" spans="1:25" x14ac:dyDescent="0.25">
      <c r="A582" s="15">
        <v>46106</v>
      </c>
      <c r="B582" t="s">
        <v>430</v>
      </c>
      <c r="C582" t="s">
        <v>256</v>
      </c>
      <c r="D582" t="s">
        <v>46</v>
      </c>
      <c r="E582">
        <v>44</v>
      </c>
      <c r="F582" t="s">
        <v>117</v>
      </c>
      <c r="G582" t="s">
        <v>258</v>
      </c>
      <c r="H582" t="s">
        <v>259</v>
      </c>
      <c r="J582" t="s">
        <v>0</v>
      </c>
      <c r="K582" t="s">
        <v>2</v>
      </c>
      <c r="L582">
        <v>27452</v>
      </c>
      <c r="M582">
        <v>8</v>
      </c>
      <c r="N582">
        <v>2</v>
      </c>
      <c r="O582">
        <v>254.922</v>
      </c>
      <c r="P582">
        <v>0.2</v>
      </c>
      <c r="Q582">
        <v>55</v>
      </c>
      <c r="R582">
        <v>1</v>
      </c>
      <c r="S582" t="s">
        <v>116</v>
      </c>
      <c r="T582">
        <v>1</v>
      </c>
      <c r="U582">
        <v>1</v>
      </c>
      <c r="V582">
        <v>0</v>
      </c>
      <c r="W582">
        <v>0</v>
      </c>
      <c r="X582">
        <v>0</v>
      </c>
      <c r="Y582" s="20">
        <f>SUM(Table1[[#This Row],[dty_type_cnt1]:[dty_type_cnt5]])</f>
        <v>2</v>
      </c>
    </row>
    <row r="583" spans="1:25" x14ac:dyDescent="0.25">
      <c r="A583" s="15">
        <v>46106</v>
      </c>
      <c r="B583" t="s">
        <v>430</v>
      </c>
      <c r="C583" t="s">
        <v>256</v>
      </c>
      <c r="D583" t="s">
        <v>46</v>
      </c>
      <c r="E583">
        <v>51</v>
      </c>
      <c r="F583" t="s">
        <v>272</v>
      </c>
      <c r="G583" t="s">
        <v>258</v>
      </c>
      <c r="H583" t="s">
        <v>259</v>
      </c>
      <c r="J583" t="s">
        <v>156</v>
      </c>
      <c r="K583" t="s">
        <v>2</v>
      </c>
      <c r="L583">
        <v>27452</v>
      </c>
      <c r="M583">
        <v>41</v>
      </c>
      <c r="N583">
        <v>10</v>
      </c>
      <c r="O583">
        <v>1010.375</v>
      </c>
      <c r="P583">
        <v>45.5</v>
      </c>
      <c r="Q583">
        <v>30</v>
      </c>
      <c r="R583">
        <v>5</v>
      </c>
      <c r="S583" t="s">
        <v>116</v>
      </c>
      <c r="T583">
        <v>3</v>
      </c>
      <c r="U583">
        <v>3</v>
      </c>
      <c r="V583">
        <v>2</v>
      </c>
      <c r="W583">
        <v>0</v>
      </c>
      <c r="X583">
        <v>0</v>
      </c>
      <c r="Y583" s="20">
        <f>SUM(Table1[[#This Row],[dty_type_cnt1]:[dty_type_cnt5]])</f>
        <v>8</v>
      </c>
    </row>
    <row r="584" spans="1:25" x14ac:dyDescent="0.25">
      <c r="A584" s="15">
        <v>46106</v>
      </c>
      <c r="B584" t="s">
        <v>430</v>
      </c>
      <c r="C584" t="s">
        <v>256</v>
      </c>
      <c r="D584" t="s">
        <v>46</v>
      </c>
      <c r="E584">
        <v>55</v>
      </c>
      <c r="F584" t="s">
        <v>48</v>
      </c>
      <c r="G584" t="s">
        <v>258</v>
      </c>
      <c r="H584" t="s">
        <v>259</v>
      </c>
      <c r="J584" t="s">
        <v>0</v>
      </c>
      <c r="K584" t="s">
        <v>2</v>
      </c>
      <c r="L584">
        <v>27452</v>
      </c>
      <c r="M584">
        <v>10</v>
      </c>
      <c r="N584">
        <v>2</v>
      </c>
      <c r="O584">
        <v>264.80500000000001</v>
      </c>
      <c r="P584">
        <v>0.2</v>
      </c>
      <c r="Q584">
        <v>90</v>
      </c>
      <c r="R584">
        <v>1</v>
      </c>
      <c r="S584" t="s">
        <v>116</v>
      </c>
      <c r="T584">
        <v>1</v>
      </c>
      <c r="U584">
        <v>1</v>
      </c>
      <c r="V584">
        <v>0</v>
      </c>
      <c r="W584">
        <v>0</v>
      </c>
      <c r="X584">
        <v>0</v>
      </c>
      <c r="Y584" s="20">
        <f>SUM(Table1[[#This Row],[dty_type_cnt1]:[dty_type_cnt5]])</f>
        <v>2</v>
      </c>
    </row>
    <row r="585" spans="1:25" x14ac:dyDescent="0.25">
      <c r="A585" s="15">
        <v>46107</v>
      </c>
      <c r="B585" t="s">
        <v>430</v>
      </c>
      <c r="C585" t="s">
        <v>256</v>
      </c>
      <c r="D585" t="s">
        <v>46</v>
      </c>
      <c r="E585">
        <v>61</v>
      </c>
      <c r="F585" t="s">
        <v>378</v>
      </c>
      <c r="G585" t="s">
        <v>258</v>
      </c>
      <c r="H585" t="s">
        <v>259</v>
      </c>
      <c r="J585" t="s">
        <v>0</v>
      </c>
      <c r="K585" t="s">
        <v>2</v>
      </c>
      <c r="L585">
        <v>27452</v>
      </c>
      <c r="M585">
        <v>20</v>
      </c>
      <c r="N585">
        <v>4</v>
      </c>
      <c r="O585">
        <v>546.22</v>
      </c>
      <c r="P585">
        <v>0.4</v>
      </c>
      <c r="Q585">
        <v>30</v>
      </c>
      <c r="R585">
        <v>2</v>
      </c>
      <c r="S585" t="s">
        <v>116</v>
      </c>
      <c r="T585">
        <v>2</v>
      </c>
      <c r="U585">
        <v>2</v>
      </c>
      <c r="V585">
        <v>0</v>
      </c>
      <c r="W585">
        <v>0</v>
      </c>
      <c r="X585">
        <v>0</v>
      </c>
      <c r="Y585" s="20">
        <f>SUM(Table1[[#This Row],[dty_type_cnt1]:[dty_type_cnt5]])</f>
        <v>4</v>
      </c>
    </row>
    <row r="586" spans="1:25" x14ac:dyDescent="0.25">
      <c r="A586" s="15">
        <v>46107</v>
      </c>
      <c r="B586" t="s">
        <v>430</v>
      </c>
      <c r="C586" t="s">
        <v>256</v>
      </c>
      <c r="D586" t="s">
        <v>46</v>
      </c>
      <c r="E586" t="s">
        <v>273</v>
      </c>
      <c r="F586" t="s">
        <v>274</v>
      </c>
      <c r="G586" t="s">
        <v>258</v>
      </c>
      <c r="H586" t="s">
        <v>259</v>
      </c>
      <c r="J586" t="s">
        <v>156</v>
      </c>
      <c r="K586" t="s">
        <v>2</v>
      </c>
      <c r="L586">
        <v>27452</v>
      </c>
      <c r="M586">
        <v>64</v>
      </c>
      <c r="N586">
        <v>19</v>
      </c>
      <c r="O586">
        <v>2759.7710000000002</v>
      </c>
      <c r="P586">
        <v>318.8</v>
      </c>
      <c r="Q586">
        <v>30</v>
      </c>
      <c r="R586">
        <v>8</v>
      </c>
      <c r="S586" t="s">
        <v>116</v>
      </c>
      <c r="T586">
        <v>9</v>
      </c>
      <c r="U586">
        <v>7</v>
      </c>
      <c r="V586">
        <v>2</v>
      </c>
      <c r="W586">
        <v>0</v>
      </c>
      <c r="X586">
        <v>0</v>
      </c>
      <c r="Y586" s="20">
        <f>SUM(Table1[[#This Row],[dty_type_cnt1]:[dty_type_cnt5]])</f>
        <v>18</v>
      </c>
    </row>
    <row r="587" spans="1:25" x14ac:dyDescent="0.25">
      <c r="A587" s="15">
        <v>46107</v>
      </c>
      <c r="B587" t="s">
        <v>430</v>
      </c>
      <c r="C587" t="s">
        <v>256</v>
      </c>
      <c r="D587" t="s">
        <v>46</v>
      </c>
      <c r="E587">
        <v>81</v>
      </c>
      <c r="F587" t="s">
        <v>275</v>
      </c>
      <c r="G587" t="s">
        <v>258</v>
      </c>
      <c r="H587" t="s">
        <v>259</v>
      </c>
      <c r="J587" t="s">
        <v>156</v>
      </c>
      <c r="K587" t="s">
        <v>2</v>
      </c>
      <c r="L587">
        <v>27452</v>
      </c>
      <c r="M587">
        <v>92</v>
      </c>
      <c r="N587">
        <v>18</v>
      </c>
      <c r="O587">
        <v>1897.1320000000001</v>
      </c>
      <c r="P587">
        <v>176.6</v>
      </c>
      <c r="Q587">
        <v>15</v>
      </c>
      <c r="R587">
        <v>8</v>
      </c>
      <c r="S587" t="s">
        <v>116</v>
      </c>
      <c r="T587">
        <v>9</v>
      </c>
      <c r="U587">
        <v>8</v>
      </c>
      <c r="V587">
        <v>1</v>
      </c>
      <c r="W587">
        <v>0</v>
      </c>
      <c r="X587">
        <v>0</v>
      </c>
      <c r="Y587" s="20">
        <f>SUM(Table1[[#This Row],[dty_type_cnt1]:[dty_type_cnt5]])</f>
        <v>18</v>
      </c>
    </row>
    <row r="588" spans="1:25" x14ac:dyDescent="0.25">
      <c r="A588" s="15">
        <v>46107</v>
      </c>
      <c r="B588" t="s">
        <v>430</v>
      </c>
      <c r="C588" t="s">
        <v>256</v>
      </c>
      <c r="D588" t="s">
        <v>46</v>
      </c>
      <c r="E588">
        <v>84</v>
      </c>
      <c r="F588" t="s">
        <v>164</v>
      </c>
      <c r="G588" t="s">
        <v>258</v>
      </c>
      <c r="H588" t="s">
        <v>259</v>
      </c>
      <c r="J588" t="s">
        <v>156</v>
      </c>
      <c r="K588" t="s">
        <v>2</v>
      </c>
      <c r="L588">
        <v>27452</v>
      </c>
      <c r="M588">
        <v>62</v>
      </c>
      <c r="N588">
        <v>14</v>
      </c>
      <c r="O588">
        <v>1382.9659999999999</v>
      </c>
      <c r="P588">
        <v>143.80000000000001</v>
      </c>
      <c r="Q588">
        <v>20</v>
      </c>
      <c r="R588">
        <v>7</v>
      </c>
      <c r="S588" t="s">
        <v>116</v>
      </c>
      <c r="T588">
        <v>7</v>
      </c>
      <c r="U588">
        <v>6</v>
      </c>
      <c r="V588">
        <v>1</v>
      </c>
      <c r="W588">
        <v>0</v>
      </c>
      <c r="X588">
        <v>0</v>
      </c>
      <c r="Y588" s="20">
        <f>SUM(Table1[[#This Row],[dty_type_cnt1]:[dty_type_cnt5]])</f>
        <v>14</v>
      </c>
    </row>
    <row r="589" spans="1:25" x14ac:dyDescent="0.25">
      <c r="A589" s="15">
        <v>46107</v>
      </c>
      <c r="B589" t="s">
        <v>430</v>
      </c>
      <c r="C589" t="s">
        <v>256</v>
      </c>
      <c r="D589" t="s">
        <v>46</v>
      </c>
      <c r="E589" t="s">
        <v>418</v>
      </c>
      <c r="F589" t="s">
        <v>419</v>
      </c>
      <c r="G589" t="s">
        <v>258</v>
      </c>
      <c r="H589" t="s">
        <v>259</v>
      </c>
      <c r="J589" t="s">
        <v>156</v>
      </c>
      <c r="K589" t="s">
        <v>2</v>
      </c>
      <c r="L589">
        <v>27452</v>
      </c>
      <c r="M589">
        <v>13</v>
      </c>
      <c r="N589">
        <v>18</v>
      </c>
      <c r="O589">
        <v>137.44900000000001</v>
      </c>
      <c r="P589">
        <v>211.5</v>
      </c>
      <c r="Q589">
        <v>11</v>
      </c>
      <c r="R589">
        <v>5</v>
      </c>
      <c r="S589" t="s">
        <v>116</v>
      </c>
      <c r="T589">
        <v>5</v>
      </c>
      <c r="U589">
        <v>0</v>
      </c>
      <c r="V589">
        <v>0</v>
      </c>
      <c r="W589">
        <v>0</v>
      </c>
      <c r="X589">
        <v>0</v>
      </c>
      <c r="Y589" s="20">
        <f>SUM(Table1[[#This Row],[dty_type_cnt1]:[dty_type_cnt5]])</f>
        <v>5</v>
      </c>
    </row>
    <row r="590" spans="1:25" x14ac:dyDescent="0.25">
      <c r="A590" s="15">
        <v>46107</v>
      </c>
      <c r="B590" t="s">
        <v>430</v>
      </c>
      <c r="C590" t="s">
        <v>256</v>
      </c>
      <c r="D590" t="s">
        <v>46</v>
      </c>
      <c r="E590" t="s">
        <v>420</v>
      </c>
      <c r="F590" t="s">
        <v>421</v>
      </c>
      <c r="G590" t="s">
        <v>258</v>
      </c>
      <c r="H590" t="s">
        <v>259</v>
      </c>
      <c r="J590" t="s">
        <v>156</v>
      </c>
      <c r="K590" t="s">
        <v>2</v>
      </c>
      <c r="L590">
        <v>27452</v>
      </c>
      <c r="M590">
        <v>12</v>
      </c>
      <c r="N590">
        <v>17</v>
      </c>
      <c r="O590">
        <v>117.396</v>
      </c>
      <c r="P590">
        <v>194.7</v>
      </c>
      <c r="Q590">
        <v>0</v>
      </c>
      <c r="R590">
        <v>0</v>
      </c>
      <c r="S590" t="s">
        <v>116</v>
      </c>
      <c r="T590">
        <v>0</v>
      </c>
      <c r="U590">
        <v>4</v>
      </c>
      <c r="V590">
        <v>1</v>
      </c>
      <c r="W590">
        <v>0</v>
      </c>
      <c r="X590">
        <v>0</v>
      </c>
      <c r="Y590" s="20">
        <f>SUM(Table1[[#This Row],[dty_type_cnt1]:[dty_type_cnt5]])</f>
        <v>5</v>
      </c>
    </row>
    <row r="591" spans="1:25" x14ac:dyDescent="0.25">
      <c r="A591" s="15">
        <v>46107</v>
      </c>
      <c r="B591" t="s">
        <v>430</v>
      </c>
      <c r="C591" t="s">
        <v>256</v>
      </c>
      <c r="D591" t="s">
        <v>46</v>
      </c>
      <c r="E591">
        <v>91</v>
      </c>
      <c r="F591" t="s">
        <v>260</v>
      </c>
      <c r="G591" t="s">
        <v>258</v>
      </c>
      <c r="H591" t="s">
        <v>259</v>
      </c>
      <c r="J591" t="s">
        <v>156</v>
      </c>
      <c r="K591" t="s">
        <v>2</v>
      </c>
      <c r="L591">
        <v>27452</v>
      </c>
      <c r="M591">
        <v>42</v>
      </c>
      <c r="N591">
        <v>12</v>
      </c>
      <c r="O591">
        <v>1287.4259999999999</v>
      </c>
      <c r="P591">
        <v>99.89</v>
      </c>
      <c r="Q591">
        <v>20</v>
      </c>
      <c r="R591">
        <v>5</v>
      </c>
      <c r="S591" t="s">
        <v>116</v>
      </c>
      <c r="T591">
        <v>4</v>
      </c>
      <c r="U591">
        <v>3</v>
      </c>
      <c r="V591">
        <v>2</v>
      </c>
      <c r="W591">
        <v>0</v>
      </c>
      <c r="X591">
        <v>0</v>
      </c>
      <c r="Y591" s="20">
        <f>SUM(Table1[[#This Row],[dty_type_cnt1]:[dty_type_cnt5]])</f>
        <v>9</v>
      </c>
    </row>
    <row r="592" spans="1:25" x14ac:dyDescent="0.25">
      <c r="A592" s="15">
        <v>46107</v>
      </c>
      <c r="B592" t="s">
        <v>430</v>
      </c>
      <c r="C592" t="s">
        <v>256</v>
      </c>
      <c r="D592" t="s">
        <v>46</v>
      </c>
      <c r="E592">
        <v>93</v>
      </c>
      <c r="F592" t="s">
        <v>276</v>
      </c>
      <c r="G592" t="s">
        <v>258</v>
      </c>
      <c r="H592" t="s">
        <v>259</v>
      </c>
      <c r="J592" t="s">
        <v>156</v>
      </c>
      <c r="K592" t="s">
        <v>2</v>
      </c>
      <c r="L592">
        <v>27452</v>
      </c>
      <c r="M592">
        <v>70</v>
      </c>
      <c r="N592">
        <v>18</v>
      </c>
      <c r="O592">
        <v>1665.53</v>
      </c>
      <c r="P592">
        <v>177.4</v>
      </c>
      <c r="Q592">
        <v>30</v>
      </c>
      <c r="R592">
        <v>9</v>
      </c>
      <c r="S592" t="s">
        <v>116</v>
      </c>
      <c r="T592">
        <v>9</v>
      </c>
      <c r="U592">
        <v>6</v>
      </c>
      <c r="V592">
        <v>3</v>
      </c>
      <c r="W592">
        <v>0</v>
      </c>
      <c r="X592">
        <v>0</v>
      </c>
      <c r="Y592" s="20">
        <f>SUM(Table1[[#This Row],[dty_type_cnt1]:[dty_type_cnt5]])</f>
        <v>18</v>
      </c>
    </row>
    <row r="593" spans="1:25" x14ac:dyDescent="0.25">
      <c r="A593" s="15">
        <v>46107</v>
      </c>
      <c r="B593" t="s">
        <v>430</v>
      </c>
      <c r="C593" t="s">
        <v>256</v>
      </c>
      <c r="D593" t="s">
        <v>46</v>
      </c>
      <c r="E593" t="s">
        <v>422</v>
      </c>
      <c r="F593" t="s">
        <v>423</v>
      </c>
      <c r="G593" t="s">
        <v>258</v>
      </c>
      <c r="H593" t="s">
        <v>259</v>
      </c>
      <c r="J593" t="s">
        <v>156</v>
      </c>
      <c r="K593" t="s">
        <v>2</v>
      </c>
      <c r="L593">
        <v>27452</v>
      </c>
      <c r="M593">
        <v>18</v>
      </c>
      <c r="N593">
        <v>22</v>
      </c>
      <c r="O593">
        <v>215.46</v>
      </c>
      <c r="P593">
        <v>313.7</v>
      </c>
      <c r="Q593">
        <v>25</v>
      </c>
      <c r="R593">
        <v>5</v>
      </c>
      <c r="S593" t="s">
        <v>116</v>
      </c>
      <c r="T593">
        <v>5</v>
      </c>
      <c r="U593">
        <v>2</v>
      </c>
      <c r="V593">
        <v>1</v>
      </c>
      <c r="W593">
        <v>0</v>
      </c>
      <c r="X593">
        <v>0</v>
      </c>
      <c r="Y593" s="20">
        <f>SUM(Table1[[#This Row],[dty_type_cnt1]:[dty_type_cnt5]])</f>
        <v>8</v>
      </c>
    </row>
    <row r="594" spans="1:25" x14ac:dyDescent="0.25">
      <c r="A594" s="15">
        <v>46107</v>
      </c>
      <c r="B594" t="s">
        <v>430</v>
      </c>
      <c r="C594" t="s">
        <v>256</v>
      </c>
      <c r="D594" t="s">
        <v>46</v>
      </c>
      <c r="E594" t="s">
        <v>424</v>
      </c>
      <c r="F594" t="s">
        <v>425</v>
      </c>
      <c r="G594" t="s">
        <v>258</v>
      </c>
      <c r="H594" t="s">
        <v>259</v>
      </c>
      <c r="J594" t="s">
        <v>156</v>
      </c>
      <c r="K594" t="s">
        <v>2</v>
      </c>
      <c r="L594">
        <v>27452</v>
      </c>
      <c r="M594">
        <v>8</v>
      </c>
      <c r="N594">
        <v>7</v>
      </c>
      <c r="O594">
        <v>95.936000000000007</v>
      </c>
      <c r="P594">
        <v>103.5</v>
      </c>
      <c r="Q594">
        <v>0</v>
      </c>
      <c r="R594">
        <v>0</v>
      </c>
      <c r="S594" t="s">
        <v>116</v>
      </c>
      <c r="T594">
        <v>0</v>
      </c>
      <c r="U594">
        <v>1</v>
      </c>
      <c r="V594">
        <v>1</v>
      </c>
      <c r="W594">
        <v>0</v>
      </c>
      <c r="X594">
        <v>0</v>
      </c>
      <c r="Y594" s="20">
        <f>SUM(Table1[[#This Row],[dty_type_cnt1]:[dty_type_cnt5]])</f>
        <v>2</v>
      </c>
    </row>
    <row r="595" spans="1:25" x14ac:dyDescent="0.25">
      <c r="A595" s="15">
        <v>46107</v>
      </c>
      <c r="B595" t="s">
        <v>430</v>
      </c>
      <c r="C595" t="s">
        <v>256</v>
      </c>
      <c r="D595" t="s">
        <v>46</v>
      </c>
      <c r="E595">
        <v>96</v>
      </c>
      <c r="F595" t="s">
        <v>167</v>
      </c>
      <c r="G595" t="s">
        <v>258</v>
      </c>
      <c r="H595" t="s">
        <v>259</v>
      </c>
      <c r="J595" t="s">
        <v>156</v>
      </c>
      <c r="K595" t="s">
        <v>2</v>
      </c>
      <c r="L595">
        <v>27452</v>
      </c>
      <c r="M595">
        <v>48</v>
      </c>
      <c r="N595">
        <v>12</v>
      </c>
      <c r="O595">
        <v>2407.9870000000001</v>
      </c>
      <c r="P595">
        <v>137.6</v>
      </c>
      <c r="Q595">
        <v>30</v>
      </c>
      <c r="R595">
        <v>6</v>
      </c>
      <c r="S595" t="s">
        <v>116</v>
      </c>
      <c r="T595">
        <v>6</v>
      </c>
      <c r="U595">
        <v>5</v>
      </c>
      <c r="V595">
        <v>2</v>
      </c>
      <c r="W595">
        <v>0</v>
      </c>
      <c r="X595">
        <v>0</v>
      </c>
      <c r="Y595" s="20">
        <f>SUM(Table1[[#This Row],[dty_type_cnt1]:[dty_type_cnt5]])</f>
        <v>13</v>
      </c>
    </row>
    <row r="596" spans="1:25" x14ac:dyDescent="0.25">
      <c r="A596" s="15">
        <v>46107</v>
      </c>
      <c r="B596" t="s">
        <v>430</v>
      </c>
      <c r="C596" t="s">
        <v>256</v>
      </c>
      <c r="D596" t="s">
        <v>46</v>
      </c>
      <c r="E596" t="s">
        <v>277</v>
      </c>
      <c r="F596" t="s">
        <v>278</v>
      </c>
      <c r="G596" t="s">
        <v>258</v>
      </c>
      <c r="H596" t="s">
        <v>259</v>
      </c>
      <c r="J596" t="s">
        <v>156</v>
      </c>
      <c r="K596" t="s">
        <v>2</v>
      </c>
      <c r="L596">
        <v>27452</v>
      </c>
      <c r="M596">
        <v>28</v>
      </c>
      <c r="N596">
        <v>7</v>
      </c>
      <c r="O596">
        <v>889.01199999999994</v>
      </c>
      <c r="P596">
        <v>48.7</v>
      </c>
      <c r="Q596">
        <v>30</v>
      </c>
      <c r="R596">
        <v>3</v>
      </c>
      <c r="S596" t="s">
        <v>116</v>
      </c>
      <c r="T596">
        <v>2</v>
      </c>
      <c r="U596">
        <v>2</v>
      </c>
      <c r="V596">
        <v>0</v>
      </c>
      <c r="W596">
        <v>0</v>
      </c>
      <c r="X596">
        <v>0</v>
      </c>
      <c r="Y596" s="20">
        <f>SUM(Table1[[#This Row],[dty_type_cnt1]:[dty_type_cnt5]])</f>
        <v>4</v>
      </c>
    </row>
    <row r="597" spans="1:25" x14ac:dyDescent="0.25">
      <c r="A597" s="15">
        <v>46107</v>
      </c>
      <c r="B597" t="s">
        <v>430</v>
      </c>
      <c r="C597" t="s">
        <v>256</v>
      </c>
      <c r="D597" t="s">
        <v>46</v>
      </c>
      <c r="E597" t="s">
        <v>56</v>
      </c>
      <c r="F597" t="s">
        <v>57</v>
      </c>
      <c r="G597" t="s">
        <v>258</v>
      </c>
      <c r="H597" t="s">
        <v>259</v>
      </c>
      <c r="J597" t="s">
        <v>0</v>
      </c>
      <c r="K597" t="s">
        <v>2</v>
      </c>
      <c r="L597">
        <v>27452</v>
      </c>
      <c r="M597">
        <v>30</v>
      </c>
      <c r="N597">
        <v>6</v>
      </c>
      <c r="O597">
        <v>520.37900000000002</v>
      </c>
      <c r="P597">
        <v>19.5</v>
      </c>
      <c r="Q597">
        <v>20</v>
      </c>
      <c r="R597">
        <v>3</v>
      </c>
      <c r="S597" t="s">
        <v>116</v>
      </c>
      <c r="T597">
        <v>3</v>
      </c>
      <c r="U597">
        <v>3</v>
      </c>
      <c r="V597">
        <v>0</v>
      </c>
      <c r="W597">
        <v>0</v>
      </c>
      <c r="X597">
        <v>0</v>
      </c>
      <c r="Y597" s="20">
        <f>SUM(Table1[[#This Row],[dty_type_cnt1]:[dty_type_cnt5]])</f>
        <v>6</v>
      </c>
    </row>
    <row r="598" spans="1:25" x14ac:dyDescent="0.25">
      <c r="A598" s="15">
        <v>46107</v>
      </c>
      <c r="B598" t="s">
        <v>430</v>
      </c>
      <c r="C598" t="s">
        <v>256</v>
      </c>
      <c r="D598" t="s">
        <v>46</v>
      </c>
      <c r="E598" t="s">
        <v>77</v>
      </c>
      <c r="F598" t="s">
        <v>78</v>
      </c>
      <c r="G598" t="s">
        <v>258</v>
      </c>
      <c r="H598" t="s">
        <v>259</v>
      </c>
      <c r="J598" t="s">
        <v>0</v>
      </c>
      <c r="K598" t="s">
        <v>2</v>
      </c>
      <c r="L598">
        <v>27452</v>
      </c>
      <c r="M598">
        <v>35</v>
      </c>
      <c r="N598">
        <v>6</v>
      </c>
      <c r="O598">
        <v>549.22400000000005</v>
      </c>
      <c r="P598">
        <v>4.8</v>
      </c>
      <c r="Q598">
        <v>30</v>
      </c>
      <c r="R598">
        <v>3</v>
      </c>
      <c r="S598" t="s">
        <v>116</v>
      </c>
      <c r="T598">
        <v>3</v>
      </c>
      <c r="U598">
        <v>3</v>
      </c>
      <c r="V598">
        <v>0</v>
      </c>
      <c r="W598">
        <v>0</v>
      </c>
      <c r="X598">
        <v>0</v>
      </c>
      <c r="Y598" s="20">
        <f>SUM(Table1[[#This Row],[dty_type_cnt1]:[dty_type_cnt5]])</f>
        <v>6</v>
      </c>
    </row>
    <row r="599" spans="1:25" x14ac:dyDescent="0.25">
      <c r="A599" s="15">
        <v>46107</v>
      </c>
      <c r="B599" t="s">
        <v>430</v>
      </c>
      <c r="C599" t="s">
        <v>256</v>
      </c>
      <c r="D599" t="s">
        <v>46</v>
      </c>
      <c r="E599" t="s">
        <v>50</v>
      </c>
      <c r="F599" t="s">
        <v>51</v>
      </c>
      <c r="G599" t="s">
        <v>258</v>
      </c>
      <c r="H599" t="s">
        <v>259</v>
      </c>
      <c r="J599" t="s">
        <v>0</v>
      </c>
      <c r="K599" t="s">
        <v>2</v>
      </c>
      <c r="L599">
        <v>27452</v>
      </c>
      <c r="M599">
        <v>20</v>
      </c>
      <c r="N599">
        <v>4</v>
      </c>
      <c r="O599">
        <v>451.03</v>
      </c>
      <c r="P599">
        <v>0.4</v>
      </c>
      <c r="Q599">
        <v>25</v>
      </c>
      <c r="R599">
        <v>2</v>
      </c>
      <c r="S599" t="s">
        <v>116</v>
      </c>
      <c r="T599">
        <v>2</v>
      </c>
      <c r="U599">
        <v>2</v>
      </c>
      <c r="V599">
        <v>0</v>
      </c>
      <c r="W599">
        <v>0</v>
      </c>
      <c r="X599">
        <v>0</v>
      </c>
      <c r="Y599" s="20">
        <f>SUM(Table1[[#This Row],[dty_type_cnt1]:[dty_type_cnt5]])</f>
        <v>4</v>
      </c>
    </row>
    <row r="600" spans="1:25" x14ac:dyDescent="0.25">
      <c r="A600" s="15">
        <v>46107</v>
      </c>
      <c r="B600" t="s">
        <v>430</v>
      </c>
      <c r="C600" t="s">
        <v>256</v>
      </c>
      <c r="D600" t="s">
        <v>46</v>
      </c>
      <c r="E600" t="s">
        <v>52</v>
      </c>
      <c r="F600" t="s">
        <v>53</v>
      </c>
      <c r="G600" t="s">
        <v>258</v>
      </c>
      <c r="H600" t="s">
        <v>259</v>
      </c>
      <c r="J600" t="s">
        <v>0</v>
      </c>
      <c r="K600" t="s">
        <v>2</v>
      </c>
      <c r="L600">
        <v>27452</v>
      </c>
      <c r="M600">
        <v>24</v>
      </c>
      <c r="N600">
        <v>4</v>
      </c>
      <c r="O600">
        <v>569.75400000000002</v>
      </c>
      <c r="P600">
        <v>20.8</v>
      </c>
      <c r="Q600">
        <v>16</v>
      </c>
      <c r="R600">
        <v>2</v>
      </c>
      <c r="S600" t="s">
        <v>116</v>
      </c>
      <c r="T600">
        <v>4</v>
      </c>
      <c r="U600">
        <v>0</v>
      </c>
      <c r="V600">
        <v>2</v>
      </c>
      <c r="W600">
        <v>0</v>
      </c>
      <c r="X600">
        <v>0</v>
      </c>
      <c r="Y600" s="20">
        <f>SUM(Table1[[#This Row],[dty_type_cnt1]:[dty_type_cnt5]])</f>
        <v>6</v>
      </c>
    </row>
    <row r="601" spans="1:25" x14ac:dyDescent="0.25">
      <c r="A601" s="15">
        <v>46107</v>
      </c>
      <c r="B601" t="s">
        <v>430</v>
      </c>
      <c r="C601" t="s">
        <v>256</v>
      </c>
      <c r="D601" t="s">
        <v>46</v>
      </c>
      <c r="E601" t="s">
        <v>124</v>
      </c>
      <c r="F601" t="s">
        <v>125</v>
      </c>
      <c r="G601" t="s">
        <v>258</v>
      </c>
      <c r="H601" t="s">
        <v>259</v>
      </c>
      <c r="J601" t="s">
        <v>0</v>
      </c>
      <c r="K601" t="s">
        <v>2</v>
      </c>
      <c r="L601">
        <v>27452</v>
      </c>
      <c r="M601">
        <v>21</v>
      </c>
      <c r="N601">
        <v>4</v>
      </c>
      <c r="O601">
        <v>428.57100000000003</v>
      </c>
      <c r="P601">
        <v>9.5</v>
      </c>
      <c r="Q601">
        <v>35</v>
      </c>
      <c r="R601">
        <v>2</v>
      </c>
      <c r="S601" t="s">
        <v>116</v>
      </c>
      <c r="T601">
        <v>2</v>
      </c>
      <c r="U601">
        <v>2</v>
      </c>
      <c r="V601">
        <v>0</v>
      </c>
      <c r="W601">
        <v>0</v>
      </c>
      <c r="X601">
        <v>0</v>
      </c>
      <c r="Y601" s="20">
        <f>SUM(Table1[[#This Row],[dty_type_cnt1]:[dty_type_cnt5]])</f>
        <v>4</v>
      </c>
    </row>
    <row r="602" spans="1:25" x14ac:dyDescent="0.25">
      <c r="A602" s="15">
        <v>46107</v>
      </c>
      <c r="B602" t="s">
        <v>430</v>
      </c>
      <c r="C602" t="s">
        <v>256</v>
      </c>
      <c r="D602" t="s">
        <v>46</v>
      </c>
      <c r="E602" t="s">
        <v>240</v>
      </c>
      <c r="F602" t="s">
        <v>241</v>
      </c>
      <c r="G602" t="s">
        <v>258</v>
      </c>
      <c r="H602" t="s">
        <v>259</v>
      </c>
      <c r="J602" t="s">
        <v>0</v>
      </c>
      <c r="K602" t="s">
        <v>2</v>
      </c>
      <c r="L602">
        <v>27452</v>
      </c>
      <c r="M602">
        <v>30</v>
      </c>
      <c r="N602">
        <v>6</v>
      </c>
      <c r="O602">
        <v>715.44</v>
      </c>
      <c r="P602">
        <v>12.9</v>
      </c>
      <c r="Q602">
        <v>25</v>
      </c>
      <c r="R602">
        <v>3</v>
      </c>
      <c r="S602" t="s">
        <v>116</v>
      </c>
      <c r="T602">
        <v>3</v>
      </c>
      <c r="U602">
        <v>3</v>
      </c>
      <c r="V602">
        <v>0</v>
      </c>
      <c r="W602">
        <v>0</v>
      </c>
      <c r="X602">
        <v>0</v>
      </c>
      <c r="Y602" s="20">
        <f>SUM(Table1[[#This Row],[dty_type_cnt1]:[dty_type_cnt5]])</f>
        <v>6</v>
      </c>
    </row>
    <row r="603" spans="1:25" x14ac:dyDescent="0.25">
      <c r="A603" s="15">
        <v>46107</v>
      </c>
      <c r="B603" t="s">
        <v>430</v>
      </c>
      <c r="C603" t="s">
        <v>256</v>
      </c>
      <c r="D603" t="s">
        <v>55</v>
      </c>
      <c r="E603" t="s">
        <v>279</v>
      </c>
      <c r="F603" t="s">
        <v>280</v>
      </c>
      <c r="G603" t="s">
        <v>258</v>
      </c>
      <c r="H603" t="s">
        <v>259</v>
      </c>
      <c r="J603" t="s">
        <v>156</v>
      </c>
      <c r="K603" t="s">
        <v>2</v>
      </c>
      <c r="L603">
        <v>27452</v>
      </c>
      <c r="M603">
        <v>18</v>
      </c>
      <c r="N603">
        <v>2</v>
      </c>
      <c r="O603">
        <v>374.77800000000002</v>
      </c>
      <c r="P603">
        <v>13.1</v>
      </c>
      <c r="Q603">
        <v>60</v>
      </c>
      <c r="R603">
        <v>1</v>
      </c>
      <c r="S603" t="s">
        <v>116</v>
      </c>
      <c r="T603">
        <v>1</v>
      </c>
      <c r="U603">
        <v>1</v>
      </c>
      <c r="V603">
        <v>0</v>
      </c>
      <c r="W603">
        <v>0</v>
      </c>
      <c r="X603">
        <v>0</v>
      </c>
      <c r="Y603" s="20">
        <f>SUM(Table1[[#This Row],[dty_type_cnt1]:[dty_type_cnt5]])</f>
        <v>2</v>
      </c>
    </row>
    <row r="604" spans="1:25" x14ac:dyDescent="0.25">
      <c r="A604" s="15">
        <v>46107</v>
      </c>
      <c r="B604" t="s">
        <v>430</v>
      </c>
      <c r="C604" t="s">
        <v>256</v>
      </c>
      <c r="D604" t="s">
        <v>54</v>
      </c>
      <c r="E604" t="s">
        <v>281</v>
      </c>
      <c r="F604" t="s">
        <v>282</v>
      </c>
      <c r="G604" t="s">
        <v>258</v>
      </c>
      <c r="H604" t="s">
        <v>259</v>
      </c>
      <c r="J604" t="s">
        <v>156</v>
      </c>
      <c r="K604" t="s">
        <v>2</v>
      </c>
      <c r="L604">
        <v>27452</v>
      </c>
      <c r="M604">
        <v>44</v>
      </c>
      <c r="N604">
        <v>12</v>
      </c>
      <c r="O604">
        <v>557.26400000000001</v>
      </c>
      <c r="P604">
        <v>155</v>
      </c>
      <c r="Q604">
        <v>20</v>
      </c>
      <c r="R604">
        <v>4</v>
      </c>
      <c r="S604" t="s">
        <v>116</v>
      </c>
      <c r="T604">
        <v>5</v>
      </c>
      <c r="U604">
        <v>1</v>
      </c>
      <c r="V604">
        <v>2</v>
      </c>
      <c r="W604">
        <v>0</v>
      </c>
      <c r="X604">
        <v>0</v>
      </c>
      <c r="Y604" s="20">
        <f>SUM(Table1[[#This Row],[dty_type_cnt1]:[dty_type_cnt5]])</f>
        <v>8</v>
      </c>
    </row>
    <row r="605" spans="1:25" x14ac:dyDescent="0.25">
      <c r="A605" s="15">
        <v>46107</v>
      </c>
      <c r="B605" t="s">
        <v>430</v>
      </c>
      <c r="C605" t="s">
        <v>256</v>
      </c>
      <c r="D605" t="s">
        <v>54</v>
      </c>
      <c r="E605" t="s">
        <v>283</v>
      </c>
      <c r="F605" t="s">
        <v>284</v>
      </c>
      <c r="G605" t="s">
        <v>258</v>
      </c>
      <c r="H605" t="s">
        <v>259</v>
      </c>
      <c r="J605" t="s">
        <v>156</v>
      </c>
      <c r="K605" t="s">
        <v>2</v>
      </c>
      <c r="L605">
        <v>27452</v>
      </c>
      <c r="M605">
        <v>68</v>
      </c>
      <c r="N605">
        <v>8</v>
      </c>
      <c r="O605">
        <v>613.49599999999998</v>
      </c>
      <c r="P605">
        <v>95.6</v>
      </c>
      <c r="Q605">
        <v>14</v>
      </c>
      <c r="R605">
        <v>4</v>
      </c>
      <c r="S605" t="s">
        <v>116</v>
      </c>
      <c r="T605">
        <v>4</v>
      </c>
      <c r="U605">
        <v>3</v>
      </c>
      <c r="V605">
        <v>1</v>
      </c>
      <c r="W605">
        <v>0</v>
      </c>
      <c r="X605">
        <v>0</v>
      </c>
      <c r="Y605" s="20">
        <f>SUM(Table1[[#This Row],[dty_type_cnt1]:[dty_type_cnt5]])</f>
        <v>8</v>
      </c>
    </row>
    <row r="606" spans="1:25" x14ac:dyDescent="0.25">
      <c r="A606" s="15">
        <v>46107</v>
      </c>
      <c r="B606" t="s">
        <v>430</v>
      </c>
      <c r="C606" t="s">
        <v>256</v>
      </c>
      <c r="D606" t="s">
        <v>54</v>
      </c>
      <c r="E606" t="s">
        <v>285</v>
      </c>
      <c r="F606" t="s">
        <v>286</v>
      </c>
      <c r="G606" t="s">
        <v>258</v>
      </c>
      <c r="H606" t="s">
        <v>259</v>
      </c>
      <c r="J606" t="s">
        <v>156</v>
      </c>
      <c r="K606" t="s">
        <v>2</v>
      </c>
      <c r="L606">
        <v>27452</v>
      </c>
      <c r="M606">
        <v>43</v>
      </c>
      <c r="N606">
        <v>6</v>
      </c>
      <c r="O606">
        <v>640.30899999999997</v>
      </c>
      <c r="P606">
        <v>66.3</v>
      </c>
      <c r="Q606">
        <v>20</v>
      </c>
      <c r="R606">
        <v>3</v>
      </c>
      <c r="S606" t="s">
        <v>116</v>
      </c>
      <c r="T606">
        <v>2</v>
      </c>
      <c r="U606">
        <v>3</v>
      </c>
      <c r="V606">
        <v>0</v>
      </c>
      <c r="W606">
        <v>0</v>
      </c>
      <c r="X606">
        <v>0</v>
      </c>
      <c r="Y606" s="20">
        <f>SUM(Table1[[#This Row],[dty_type_cnt1]:[dty_type_cnt5]])</f>
        <v>5</v>
      </c>
    </row>
    <row r="607" spans="1:25" x14ac:dyDescent="0.25">
      <c r="A607" s="15">
        <v>46107</v>
      </c>
      <c r="B607" t="s">
        <v>430</v>
      </c>
      <c r="C607" t="s">
        <v>256</v>
      </c>
      <c r="D607" t="s">
        <v>54</v>
      </c>
      <c r="E607" t="s">
        <v>287</v>
      </c>
      <c r="F607" t="s">
        <v>288</v>
      </c>
      <c r="G607" t="s">
        <v>258</v>
      </c>
      <c r="H607" t="s">
        <v>259</v>
      </c>
      <c r="J607" t="s">
        <v>156</v>
      </c>
      <c r="K607" t="s">
        <v>2</v>
      </c>
      <c r="L607">
        <v>27452</v>
      </c>
      <c r="M607">
        <v>178</v>
      </c>
      <c r="N607">
        <v>28</v>
      </c>
      <c r="O607">
        <v>2490.328</v>
      </c>
      <c r="P607">
        <v>149.19999999999999</v>
      </c>
      <c r="Q607">
        <v>6</v>
      </c>
      <c r="R607">
        <v>14</v>
      </c>
      <c r="S607" t="s">
        <v>116</v>
      </c>
      <c r="T607">
        <v>13</v>
      </c>
      <c r="U607">
        <v>12</v>
      </c>
      <c r="V607">
        <v>1</v>
      </c>
      <c r="W607">
        <v>0</v>
      </c>
      <c r="X607">
        <v>0</v>
      </c>
      <c r="Y607" s="20">
        <f>SUM(Table1[[#This Row],[dty_type_cnt1]:[dty_type_cnt5]])</f>
        <v>26</v>
      </c>
    </row>
    <row r="608" spans="1:25" x14ac:dyDescent="0.25">
      <c r="A608" s="15">
        <v>46107</v>
      </c>
      <c r="B608" t="s">
        <v>430</v>
      </c>
      <c r="C608" t="s">
        <v>256</v>
      </c>
      <c r="D608" t="s">
        <v>54</v>
      </c>
      <c r="E608" t="s">
        <v>289</v>
      </c>
      <c r="F608" t="s">
        <v>290</v>
      </c>
      <c r="G608" t="s">
        <v>258</v>
      </c>
      <c r="H608" t="s">
        <v>259</v>
      </c>
      <c r="J608" t="s">
        <v>156</v>
      </c>
      <c r="K608" t="s">
        <v>2</v>
      </c>
      <c r="L608">
        <v>27452</v>
      </c>
      <c r="M608">
        <v>69</v>
      </c>
      <c r="N608">
        <v>8</v>
      </c>
      <c r="O608">
        <v>603.47400000000005</v>
      </c>
      <c r="P608">
        <v>42.8</v>
      </c>
      <c r="Q608">
        <v>15</v>
      </c>
      <c r="R608">
        <v>4</v>
      </c>
      <c r="S608" t="s">
        <v>116</v>
      </c>
      <c r="T608">
        <v>4</v>
      </c>
      <c r="U608">
        <v>3</v>
      </c>
      <c r="V608">
        <v>0</v>
      </c>
      <c r="W608">
        <v>0</v>
      </c>
      <c r="X608">
        <v>0</v>
      </c>
      <c r="Y608" s="20">
        <f>SUM(Table1[[#This Row],[dty_type_cnt1]:[dty_type_cnt5]])</f>
        <v>7</v>
      </c>
    </row>
    <row r="609" spans="1:25" x14ac:dyDescent="0.25">
      <c r="A609" s="15">
        <v>46107</v>
      </c>
      <c r="B609" t="s">
        <v>430</v>
      </c>
      <c r="C609" t="s">
        <v>256</v>
      </c>
      <c r="D609" t="s">
        <v>54</v>
      </c>
      <c r="E609" t="s">
        <v>392</v>
      </c>
      <c r="F609" t="s">
        <v>393</v>
      </c>
      <c r="G609" t="s">
        <v>258</v>
      </c>
      <c r="H609" t="s">
        <v>259</v>
      </c>
      <c r="J609" t="s">
        <v>0</v>
      </c>
      <c r="K609" t="s">
        <v>2</v>
      </c>
      <c r="L609">
        <v>27452</v>
      </c>
      <c r="M609">
        <v>40</v>
      </c>
      <c r="N609">
        <v>2</v>
      </c>
      <c r="O609">
        <v>148.24</v>
      </c>
      <c r="P609">
        <v>4.7</v>
      </c>
      <c r="Q609">
        <v>30</v>
      </c>
      <c r="R609">
        <v>1</v>
      </c>
      <c r="S609" t="s">
        <v>116</v>
      </c>
      <c r="T609">
        <v>2</v>
      </c>
      <c r="U609">
        <v>0</v>
      </c>
      <c r="V609">
        <v>1</v>
      </c>
      <c r="W609">
        <v>0</v>
      </c>
      <c r="X609">
        <v>0</v>
      </c>
      <c r="Y609" s="20">
        <f>SUM(Table1[[#This Row],[dty_type_cnt1]:[dty_type_cnt5]])</f>
        <v>3</v>
      </c>
    </row>
    <row r="610" spans="1:25" x14ac:dyDescent="0.25">
      <c r="A610" s="15">
        <v>46107</v>
      </c>
      <c r="B610" t="s">
        <v>430</v>
      </c>
      <c r="C610" t="s">
        <v>256</v>
      </c>
      <c r="D610" t="s">
        <v>54</v>
      </c>
      <c r="E610" t="s">
        <v>291</v>
      </c>
      <c r="F610" t="s">
        <v>292</v>
      </c>
      <c r="G610" t="s">
        <v>258</v>
      </c>
      <c r="H610" t="s">
        <v>259</v>
      </c>
      <c r="J610" t="s">
        <v>156</v>
      </c>
      <c r="K610" t="s">
        <v>2</v>
      </c>
      <c r="L610">
        <v>27452</v>
      </c>
      <c r="M610">
        <v>31</v>
      </c>
      <c r="N610">
        <v>4</v>
      </c>
      <c r="O610">
        <v>560.899</v>
      </c>
      <c r="P610">
        <v>47.8</v>
      </c>
      <c r="Q610">
        <v>30</v>
      </c>
      <c r="R610">
        <v>2</v>
      </c>
      <c r="S610" t="s">
        <v>116</v>
      </c>
      <c r="T610">
        <v>2</v>
      </c>
      <c r="U610">
        <v>2</v>
      </c>
      <c r="V610">
        <v>0</v>
      </c>
      <c r="W610">
        <v>0</v>
      </c>
      <c r="X610">
        <v>0</v>
      </c>
      <c r="Y610" s="20">
        <f>SUM(Table1[[#This Row],[dty_type_cnt1]:[dty_type_cnt5]])</f>
        <v>4</v>
      </c>
    </row>
    <row r="611" spans="1:25" x14ac:dyDescent="0.25">
      <c r="A611" s="15">
        <v>46107</v>
      </c>
      <c r="B611" t="s">
        <v>430</v>
      </c>
      <c r="C611" t="s">
        <v>256</v>
      </c>
      <c r="D611" t="s">
        <v>54</v>
      </c>
      <c r="E611" t="s">
        <v>293</v>
      </c>
      <c r="F611" t="s">
        <v>294</v>
      </c>
      <c r="G611" t="s">
        <v>258</v>
      </c>
      <c r="H611" t="s">
        <v>259</v>
      </c>
      <c r="J611" t="s">
        <v>156</v>
      </c>
      <c r="K611" t="s">
        <v>2</v>
      </c>
      <c r="L611">
        <v>27452</v>
      </c>
      <c r="M611">
        <v>94</v>
      </c>
      <c r="N611">
        <v>22</v>
      </c>
      <c r="O611">
        <v>1899.0419999999999</v>
      </c>
      <c r="P611">
        <v>125.9</v>
      </c>
      <c r="Q611">
        <v>20</v>
      </c>
      <c r="R611">
        <v>9</v>
      </c>
      <c r="S611" t="s">
        <v>116</v>
      </c>
      <c r="T611">
        <v>11</v>
      </c>
      <c r="U611">
        <v>9</v>
      </c>
      <c r="V611">
        <v>0</v>
      </c>
      <c r="W611">
        <v>0</v>
      </c>
      <c r="X611">
        <v>0</v>
      </c>
      <c r="Y611" s="20">
        <f>SUM(Table1[[#This Row],[dty_type_cnt1]:[dty_type_cnt5]])</f>
        <v>20</v>
      </c>
    </row>
    <row r="612" spans="1:25" x14ac:dyDescent="0.25">
      <c r="A612" s="15">
        <v>46107</v>
      </c>
      <c r="B612" t="s">
        <v>430</v>
      </c>
      <c r="C612" t="s">
        <v>256</v>
      </c>
      <c r="D612" t="s">
        <v>54</v>
      </c>
      <c r="E612" t="s">
        <v>295</v>
      </c>
      <c r="F612" t="s">
        <v>296</v>
      </c>
      <c r="G612" t="s">
        <v>258</v>
      </c>
      <c r="H612" t="s">
        <v>259</v>
      </c>
      <c r="J612" t="s">
        <v>156</v>
      </c>
      <c r="K612" t="s">
        <v>2</v>
      </c>
      <c r="L612">
        <v>27452</v>
      </c>
      <c r="M612">
        <v>75</v>
      </c>
      <c r="N612">
        <v>12</v>
      </c>
      <c r="O612">
        <v>1243.8320000000001</v>
      </c>
      <c r="P612">
        <v>56.3</v>
      </c>
      <c r="Q612">
        <v>30</v>
      </c>
      <c r="R612">
        <v>6</v>
      </c>
      <c r="S612" t="s">
        <v>116</v>
      </c>
      <c r="T612">
        <v>6</v>
      </c>
      <c r="U612">
        <v>6</v>
      </c>
      <c r="V612">
        <v>0</v>
      </c>
      <c r="W612">
        <v>0</v>
      </c>
      <c r="X612">
        <v>0</v>
      </c>
      <c r="Y612" s="20">
        <f>SUM(Table1[[#This Row],[dty_type_cnt1]:[dty_type_cnt5]])</f>
        <v>12</v>
      </c>
    </row>
    <row r="613" spans="1:25" x14ac:dyDescent="0.25">
      <c r="A613" s="15">
        <v>46107</v>
      </c>
      <c r="B613" t="s">
        <v>430</v>
      </c>
      <c r="C613" t="s">
        <v>256</v>
      </c>
      <c r="D613" t="s">
        <v>54</v>
      </c>
      <c r="E613" t="s">
        <v>400</v>
      </c>
      <c r="F613" t="s">
        <v>401</v>
      </c>
      <c r="G613" t="s">
        <v>258</v>
      </c>
      <c r="H613" t="s">
        <v>259</v>
      </c>
      <c r="J613" t="s">
        <v>0</v>
      </c>
      <c r="K613" t="s">
        <v>2</v>
      </c>
      <c r="L613">
        <v>27452</v>
      </c>
      <c r="M613">
        <v>25</v>
      </c>
      <c r="N613">
        <v>2</v>
      </c>
      <c r="O613">
        <v>223.6</v>
      </c>
      <c r="P613">
        <v>0.2</v>
      </c>
      <c r="Q613">
        <v>14</v>
      </c>
      <c r="R613">
        <v>1</v>
      </c>
      <c r="S613" t="s">
        <v>116</v>
      </c>
      <c r="T613">
        <v>1</v>
      </c>
      <c r="U613">
        <v>1</v>
      </c>
      <c r="V613">
        <v>0</v>
      </c>
      <c r="W613">
        <v>0</v>
      </c>
      <c r="X613">
        <v>0</v>
      </c>
      <c r="Y613" s="20">
        <f>SUM(Table1[[#This Row],[dty_type_cnt1]:[dty_type_cnt5]])</f>
        <v>2</v>
      </c>
    </row>
    <row r="614" spans="1:25" x14ac:dyDescent="0.25">
      <c r="A614" s="15">
        <v>46107</v>
      </c>
      <c r="B614" t="s">
        <v>430</v>
      </c>
      <c r="C614" t="s">
        <v>256</v>
      </c>
      <c r="D614" t="s">
        <v>54</v>
      </c>
      <c r="E614" t="s">
        <v>297</v>
      </c>
      <c r="F614" t="s">
        <v>298</v>
      </c>
      <c r="G614" t="s">
        <v>258</v>
      </c>
      <c r="H614" t="s">
        <v>259</v>
      </c>
      <c r="J614" t="s">
        <v>156</v>
      </c>
      <c r="K614" t="s">
        <v>2</v>
      </c>
      <c r="L614">
        <v>27452</v>
      </c>
      <c r="M614">
        <v>38</v>
      </c>
      <c r="N614">
        <v>4</v>
      </c>
      <c r="O614">
        <v>488.255</v>
      </c>
      <c r="P614">
        <v>20.56</v>
      </c>
      <c r="Q614">
        <v>30</v>
      </c>
      <c r="R614">
        <v>2</v>
      </c>
      <c r="S614" t="s">
        <v>116</v>
      </c>
      <c r="T614">
        <v>3</v>
      </c>
      <c r="U614">
        <v>1</v>
      </c>
      <c r="V614">
        <v>1</v>
      </c>
      <c r="W614">
        <v>0</v>
      </c>
      <c r="X614">
        <v>0</v>
      </c>
      <c r="Y614" s="20">
        <f>SUM(Table1[[#This Row],[dty_type_cnt1]:[dty_type_cnt5]])</f>
        <v>5</v>
      </c>
    </row>
    <row r="615" spans="1:25" x14ac:dyDescent="0.25">
      <c r="A615" s="15">
        <v>46107</v>
      </c>
      <c r="B615" t="s">
        <v>430</v>
      </c>
      <c r="C615" t="s">
        <v>256</v>
      </c>
      <c r="D615" t="s">
        <v>54</v>
      </c>
      <c r="E615" t="s">
        <v>299</v>
      </c>
      <c r="F615" t="s">
        <v>300</v>
      </c>
      <c r="G615" t="s">
        <v>258</v>
      </c>
      <c r="H615" t="s">
        <v>259</v>
      </c>
      <c r="J615" t="s">
        <v>156</v>
      </c>
      <c r="K615" t="s">
        <v>2</v>
      </c>
      <c r="L615">
        <v>27452</v>
      </c>
      <c r="M615">
        <v>38</v>
      </c>
      <c r="N615">
        <v>5</v>
      </c>
      <c r="O615">
        <v>1026.44</v>
      </c>
      <c r="P615">
        <v>42.9</v>
      </c>
      <c r="Q615">
        <v>30</v>
      </c>
      <c r="R615">
        <v>3</v>
      </c>
      <c r="S615" t="s">
        <v>116</v>
      </c>
      <c r="T615">
        <v>6</v>
      </c>
      <c r="U615">
        <v>2</v>
      </c>
      <c r="V615">
        <v>2</v>
      </c>
      <c r="W615">
        <v>0</v>
      </c>
      <c r="X615">
        <v>0</v>
      </c>
      <c r="Y615" s="20">
        <f>SUM(Table1[[#This Row],[dty_type_cnt1]:[dty_type_cnt5]])</f>
        <v>10</v>
      </c>
    </row>
    <row r="616" spans="1:25" x14ac:dyDescent="0.25">
      <c r="A616" s="15">
        <v>46107</v>
      </c>
      <c r="B616" t="s">
        <v>430</v>
      </c>
      <c r="C616" t="s">
        <v>256</v>
      </c>
      <c r="D616" t="s">
        <v>54</v>
      </c>
      <c r="E616" t="s">
        <v>301</v>
      </c>
      <c r="F616" t="s">
        <v>302</v>
      </c>
      <c r="G616" t="s">
        <v>258</v>
      </c>
      <c r="H616" t="s">
        <v>259</v>
      </c>
      <c r="J616" t="s">
        <v>156</v>
      </c>
      <c r="K616" t="s">
        <v>2</v>
      </c>
      <c r="L616">
        <v>27452</v>
      </c>
      <c r="M616">
        <v>51</v>
      </c>
      <c r="N616">
        <v>12</v>
      </c>
      <c r="O616">
        <v>1866.029</v>
      </c>
      <c r="P616">
        <v>88</v>
      </c>
      <c r="Q616">
        <v>20</v>
      </c>
      <c r="R616">
        <v>5</v>
      </c>
      <c r="S616" t="s">
        <v>116</v>
      </c>
      <c r="T616">
        <v>6</v>
      </c>
      <c r="U616">
        <v>5</v>
      </c>
      <c r="V616">
        <v>1</v>
      </c>
      <c r="W616">
        <v>0</v>
      </c>
      <c r="X616">
        <v>0</v>
      </c>
      <c r="Y616" s="20">
        <f>SUM(Table1[[#This Row],[dty_type_cnt1]:[dty_type_cnt5]])</f>
        <v>12</v>
      </c>
    </row>
    <row r="617" spans="1:25" x14ac:dyDescent="0.25">
      <c r="A617" s="15">
        <v>46107</v>
      </c>
      <c r="B617" t="s">
        <v>430</v>
      </c>
      <c r="C617" t="s">
        <v>256</v>
      </c>
      <c r="D617" t="s">
        <v>54</v>
      </c>
      <c r="E617" t="s">
        <v>303</v>
      </c>
      <c r="F617" t="s">
        <v>304</v>
      </c>
      <c r="G617" t="s">
        <v>258</v>
      </c>
      <c r="H617" t="s">
        <v>259</v>
      </c>
      <c r="J617" t="s">
        <v>156</v>
      </c>
      <c r="K617" t="s">
        <v>2</v>
      </c>
      <c r="L617">
        <v>27452</v>
      </c>
      <c r="M617">
        <v>31</v>
      </c>
      <c r="N617">
        <v>5</v>
      </c>
      <c r="O617">
        <v>538.87300000000005</v>
      </c>
      <c r="P617">
        <v>35.4</v>
      </c>
      <c r="Q617">
        <v>30</v>
      </c>
      <c r="R617">
        <v>2</v>
      </c>
      <c r="S617" t="s">
        <v>116</v>
      </c>
      <c r="T617">
        <v>1</v>
      </c>
      <c r="U617">
        <v>1</v>
      </c>
      <c r="V617">
        <v>0</v>
      </c>
      <c r="W617">
        <v>0</v>
      </c>
      <c r="X617">
        <v>0</v>
      </c>
      <c r="Y617" s="20">
        <f>SUM(Table1[[#This Row],[dty_type_cnt1]:[dty_type_cnt5]])</f>
        <v>2</v>
      </c>
    </row>
    <row r="618" spans="1:25" x14ac:dyDescent="0.25">
      <c r="A618" s="15">
        <v>46107</v>
      </c>
      <c r="B618" t="s">
        <v>430</v>
      </c>
      <c r="C618" t="s">
        <v>256</v>
      </c>
      <c r="D618" t="s">
        <v>54</v>
      </c>
      <c r="E618" t="s">
        <v>181</v>
      </c>
      <c r="F618" t="s">
        <v>182</v>
      </c>
      <c r="G618" t="s">
        <v>258</v>
      </c>
      <c r="H618" t="s">
        <v>259</v>
      </c>
      <c r="J618" t="s">
        <v>156</v>
      </c>
      <c r="K618" t="s">
        <v>2</v>
      </c>
      <c r="L618">
        <v>27452</v>
      </c>
      <c r="M618">
        <v>21</v>
      </c>
      <c r="N618">
        <v>4</v>
      </c>
      <c r="O618">
        <v>455.74299999999999</v>
      </c>
      <c r="P618">
        <v>51.6</v>
      </c>
      <c r="Q618">
        <v>30</v>
      </c>
      <c r="R618">
        <v>2</v>
      </c>
      <c r="S618" t="s">
        <v>116</v>
      </c>
      <c r="T618">
        <v>1</v>
      </c>
      <c r="U618">
        <v>2</v>
      </c>
      <c r="V618">
        <v>0</v>
      </c>
      <c r="W618">
        <v>0</v>
      </c>
      <c r="X618">
        <v>0</v>
      </c>
      <c r="Y618" s="20">
        <f>SUM(Table1[[#This Row],[dty_type_cnt1]:[dty_type_cnt5]])</f>
        <v>3</v>
      </c>
    </row>
    <row r="619" spans="1:25" x14ac:dyDescent="0.25">
      <c r="A619" s="15">
        <v>46107</v>
      </c>
      <c r="B619" t="s">
        <v>430</v>
      </c>
      <c r="C619" t="s">
        <v>256</v>
      </c>
      <c r="D619" t="s">
        <v>54</v>
      </c>
      <c r="E619" t="s">
        <v>305</v>
      </c>
      <c r="F619" t="s">
        <v>306</v>
      </c>
      <c r="G619" t="s">
        <v>258</v>
      </c>
      <c r="H619" t="s">
        <v>259</v>
      </c>
      <c r="J619" t="s">
        <v>156</v>
      </c>
      <c r="K619" t="s">
        <v>2</v>
      </c>
      <c r="L619">
        <v>27452</v>
      </c>
      <c r="M619">
        <v>39</v>
      </c>
      <c r="N619">
        <v>6</v>
      </c>
      <c r="O619">
        <v>654.82899999999995</v>
      </c>
      <c r="P619">
        <v>48.4</v>
      </c>
      <c r="Q619">
        <v>25</v>
      </c>
      <c r="R619">
        <v>4</v>
      </c>
      <c r="S619" t="s">
        <v>116</v>
      </c>
      <c r="T619">
        <v>4</v>
      </c>
      <c r="U619">
        <v>1</v>
      </c>
      <c r="V619">
        <v>2</v>
      </c>
      <c r="W619">
        <v>0</v>
      </c>
      <c r="X619">
        <v>0</v>
      </c>
      <c r="Y619" s="20">
        <f>SUM(Table1[[#This Row],[dty_type_cnt1]:[dty_type_cnt5]])</f>
        <v>7</v>
      </c>
    </row>
    <row r="620" spans="1:25" x14ac:dyDescent="0.25">
      <c r="A620" s="15">
        <v>46107</v>
      </c>
      <c r="B620" t="s">
        <v>430</v>
      </c>
      <c r="C620" t="s">
        <v>256</v>
      </c>
      <c r="D620" t="s">
        <v>54</v>
      </c>
      <c r="E620" t="s">
        <v>307</v>
      </c>
      <c r="F620" t="s">
        <v>308</v>
      </c>
      <c r="G620" t="s">
        <v>258</v>
      </c>
      <c r="H620" t="s">
        <v>259</v>
      </c>
      <c r="J620" t="s">
        <v>156</v>
      </c>
      <c r="K620" t="s">
        <v>2</v>
      </c>
      <c r="L620">
        <v>27452</v>
      </c>
      <c r="M620">
        <v>57</v>
      </c>
      <c r="N620">
        <v>12</v>
      </c>
      <c r="O620">
        <v>1659.8989999999999</v>
      </c>
      <c r="P620">
        <v>85.2</v>
      </c>
      <c r="Q620">
        <v>20</v>
      </c>
      <c r="R620">
        <v>6</v>
      </c>
      <c r="S620" t="s">
        <v>116</v>
      </c>
      <c r="T620">
        <v>6</v>
      </c>
      <c r="U620">
        <v>5</v>
      </c>
      <c r="V620">
        <v>0</v>
      </c>
      <c r="W620">
        <v>0</v>
      </c>
      <c r="X620">
        <v>0</v>
      </c>
      <c r="Y620" s="20">
        <f>SUM(Table1[[#This Row],[dty_type_cnt1]:[dty_type_cnt5]])</f>
        <v>11</v>
      </c>
    </row>
    <row r="621" spans="1:25" x14ac:dyDescent="0.25">
      <c r="A621" s="15">
        <v>46107</v>
      </c>
      <c r="B621" t="s">
        <v>430</v>
      </c>
      <c r="C621" t="s">
        <v>256</v>
      </c>
      <c r="D621" t="s">
        <v>54</v>
      </c>
      <c r="E621" t="s">
        <v>309</v>
      </c>
      <c r="F621" t="s">
        <v>310</v>
      </c>
      <c r="G621" t="s">
        <v>258</v>
      </c>
      <c r="H621" t="s">
        <v>259</v>
      </c>
      <c r="J621" t="s">
        <v>156</v>
      </c>
      <c r="K621" t="s">
        <v>2</v>
      </c>
      <c r="L621">
        <v>27452</v>
      </c>
      <c r="M621">
        <v>61</v>
      </c>
      <c r="N621">
        <v>16</v>
      </c>
      <c r="O621">
        <v>1936.0309999999999</v>
      </c>
      <c r="P621">
        <v>115.8</v>
      </c>
      <c r="Q621">
        <v>15</v>
      </c>
      <c r="R621">
        <v>7</v>
      </c>
      <c r="S621" t="s">
        <v>116</v>
      </c>
      <c r="T621">
        <v>7</v>
      </c>
      <c r="U621">
        <v>5</v>
      </c>
      <c r="V621">
        <v>1</v>
      </c>
      <c r="W621">
        <v>0</v>
      </c>
      <c r="X621">
        <v>0</v>
      </c>
      <c r="Y621" s="20">
        <f>SUM(Table1[[#This Row],[dty_type_cnt1]:[dty_type_cnt5]])</f>
        <v>13</v>
      </c>
    </row>
    <row r="622" spans="1:25" x14ac:dyDescent="0.25">
      <c r="A622" s="15">
        <v>46107</v>
      </c>
      <c r="B622" t="s">
        <v>430</v>
      </c>
      <c r="C622" t="s">
        <v>256</v>
      </c>
      <c r="D622" t="s">
        <v>54</v>
      </c>
      <c r="E622" t="s">
        <v>311</v>
      </c>
      <c r="F622" t="s">
        <v>312</v>
      </c>
      <c r="G622" t="s">
        <v>258</v>
      </c>
      <c r="H622" t="s">
        <v>259</v>
      </c>
      <c r="J622" t="s">
        <v>156</v>
      </c>
      <c r="K622" t="s">
        <v>2</v>
      </c>
      <c r="L622">
        <v>27452</v>
      </c>
      <c r="M622">
        <v>52</v>
      </c>
      <c r="N622">
        <v>6</v>
      </c>
      <c r="O622">
        <v>662.94299999999998</v>
      </c>
      <c r="P622">
        <v>72.900000000000006</v>
      </c>
      <c r="Q622">
        <v>20</v>
      </c>
      <c r="R622">
        <v>3</v>
      </c>
      <c r="S622" t="s">
        <v>116</v>
      </c>
      <c r="T622">
        <v>4</v>
      </c>
      <c r="U622">
        <v>3</v>
      </c>
      <c r="V622">
        <v>0</v>
      </c>
      <c r="W622">
        <v>0</v>
      </c>
      <c r="X622">
        <v>0</v>
      </c>
      <c r="Y622" s="20">
        <f>SUM(Table1[[#This Row],[dty_type_cnt1]:[dty_type_cnt5]])</f>
        <v>7</v>
      </c>
    </row>
    <row r="623" spans="1:25" x14ac:dyDescent="0.25">
      <c r="A623" s="15">
        <v>46107</v>
      </c>
      <c r="B623" t="s">
        <v>430</v>
      </c>
      <c r="C623" t="s">
        <v>256</v>
      </c>
      <c r="D623" t="s">
        <v>54</v>
      </c>
      <c r="E623" t="s">
        <v>99</v>
      </c>
      <c r="F623" t="s">
        <v>100</v>
      </c>
      <c r="G623" t="s">
        <v>258</v>
      </c>
      <c r="H623" t="s">
        <v>259</v>
      </c>
      <c r="J623" t="s">
        <v>63</v>
      </c>
      <c r="K623" t="s">
        <v>2</v>
      </c>
      <c r="L623">
        <v>27452</v>
      </c>
      <c r="M623">
        <v>22</v>
      </c>
      <c r="N623">
        <v>4</v>
      </c>
      <c r="O623">
        <v>301.97199999999998</v>
      </c>
      <c r="P623">
        <v>0.4</v>
      </c>
      <c r="Q623">
        <v>20</v>
      </c>
      <c r="R623">
        <v>2</v>
      </c>
      <c r="S623" t="s">
        <v>116</v>
      </c>
      <c r="T623">
        <v>2</v>
      </c>
      <c r="U623">
        <v>2</v>
      </c>
      <c r="V623">
        <v>0</v>
      </c>
      <c r="W623">
        <v>0</v>
      </c>
      <c r="X623">
        <v>0</v>
      </c>
      <c r="Y623" s="20">
        <f>SUM(Table1[[#This Row],[dty_type_cnt1]:[dty_type_cnt5]])</f>
        <v>4</v>
      </c>
    </row>
    <row r="624" spans="1:25" x14ac:dyDescent="0.25">
      <c r="A624" s="15">
        <v>46101</v>
      </c>
      <c r="B624" t="s">
        <v>430</v>
      </c>
      <c r="C624" t="s">
        <v>256</v>
      </c>
      <c r="D624" t="s">
        <v>46</v>
      </c>
      <c r="E624" t="s">
        <v>313</v>
      </c>
      <c r="F624" t="s">
        <v>314</v>
      </c>
      <c r="G624" t="s">
        <v>258</v>
      </c>
      <c r="H624" t="s">
        <v>259</v>
      </c>
      <c r="J624" t="s">
        <v>156</v>
      </c>
      <c r="K624" t="s">
        <v>2</v>
      </c>
      <c r="L624">
        <v>27452</v>
      </c>
      <c r="M624">
        <v>51</v>
      </c>
      <c r="N624">
        <v>16</v>
      </c>
      <c r="O624">
        <v>2017.3050000000001</v>
      </c>
      <c r="P624">
        <v>102.4</v>
      </c>
      <c r="Q624">
        <v>20</v>
      </c>
      <c r="R624">
        <v>8</v>
      </c>
      <c r="S624" t="s">
        <v>116</v>
      </c>
      <c r="T624">
        <v>10</v>
      </c>
      <c r="U624">
        <v>5</v>
      </c>
      <c r="V624">
        <v>4</v>
      </c>
      <c r="W624">
        <v>0</v>
      </c>
      <c r="X624">
        <v>0</v>
      </c>
      <c r="Y624" s="20">
        <f>SUM(Table1[[#This Row],[dty_type_cnt1]:[dty_type_cnt5]])</f>
        <v>19</v>
      </c>
    </row>
    <row r="625" spans="1:25" x14ac:dyDescent="0.25">
      <c r="A625" s="15">
        <v>46101</v>
      </c>
      <c r="B625" t="s">
        <v>430</v>
      </c>
      <c r="C625" t="s">
        <v>256</v>
      </c>
      <c r="D625" t="s">
        <v>55</v>
      </c>
      <c r="E625" t="s">
        <v>315</v>
      </c>
      <c r="F625" t="s">
        <v>316</v>
      </c>
      <c r="G625" t="s">
        <v>258</v>
      </c>
      <c r="H625" t="s">
        <v>259</v>
      </c>
      <c r="J625" t="s">
        <v>156</v>
      </c>
      <c r="K625" t="s">
        <v>2</v>
      </c>
      <c r="L625">
        <v>27452</v>
      </c>
      <c r="M625">
        <v>18</v>
      </c>
      <c r="N625">
        <v>2</v>
      </c>
      <c r="O625">
        <v>384.87400000000002</v>
      </c>
      <c r="P625">
        <v>23.9</v>
      </c>
      <c r="Q625">
        <v>60</v>
      </c>
      <c r="R625">
        <v>1</v>
      </c>
      <c r="S625" t="s">
        <v>116</v>
      </c>
      <c r="T625">
        <v>1</v>
      </c>
      <c r="U625">
        <v>1</v>
      </c>
      <c r="V625">
        <v>0</v>
      </c>
      <c r="W625">
        <v>0</v>
      </c>
      <c r="X625">
        <v>0</v>
      </c>
      <c r="Y625" s="20">
        <f>SUM(Table1[[#This Row],[dty_type_cnt1]:[dty_type_cnt5]])</f>
        <v>2</v>
      </c>
    </row>
    <row r="626" spans="1:25" x14ac:dyDescent="0.25">
      <c r="A626" s="15">
        <v>46101</v>
      </c>
      <c r="B626" t="s">
        <v>430</v>
      </c>
      <c r="C626" t="s">
        <v>256</v>
      </c>
      <c r="D626" t="s">
        <v>49</v>
      </c>
      <c r="E626" t="s">
        <v>250</v>
      </c>
      <c r="F626" t="s">
        <v>251</v>
      </c>
      <c r="G626" t="s">
        <v>258</v>
      </c>
      <c r="H626" t="s">
        <v>259</v>
      </c>
      <c r="J626" t="s">
        <v>0</v>
      </c>
      <c r="K626" t="s">
        <v>2</v>
      </c>
      <c r="L626">
        <v>27452</v>
      </c>
      <c r="M626">
        <v>69</v>
      </c>
      <c r="N626">
        <v>15</v>
      </c>
      <c r="O626">
        <v>1595.6369999999999</v>
      </c>
      <c r="P626">
        <v>211.5</v>
      </c>
      <c r="Q626">
        <v>20</v>
      </c>
      <c r="R626">
        <v>7</v>
      </c>
      <c r="S626" t="s">
        <v>116</v>
      </c>
      <c r="T626">
        <v>8</v>
      </c>
      <c r="U626">
        <v>6</v>
      </c>
      <c r="V626">
        <v>2</v>
      </c>
      <c r="W626">
        <v>0</v>
      </c>
      <c r="X626">
        <v>0</v>
      </c>
      <c r="Y626" s="20">
        <f>SUM(Table1[[#This Row],[dty_type_cnt1]:[dty_type_cnt5]])</f>
        <v>16</v>
      </c>
    </row>
    <row r="627" spans="1:25" x14ac:dyDescent="0.25">
      <c r="A627" s="15">
        <v>46101</v>
      </c>
      <c r="B627" t="s">
        <v>430</v>
      </c>
      <c r="C627" t="s">
        <v>256</v>
      </c>
      <c r="D627" t="s">
        <v>49</v>
      </c>
      <c r="E627" t="s">
        <v>104</v>
      </c>
      <c r="F627" t="s">
        <v>134</v>
      </c>
      <c r="G627" t="s">
        <v>258</v>
      </c>
      <c r="H627" t="s">
        <v>259</v>
      </c>
      <c r="J627" t="s">
        <v>0</v>
      </c>
      <c r="K627" t="s">
        <v>2</v>
      </c>
      <c r="L627">
        <v>27452</v>
      </c>
      <c r="M627">
        <v>32</v>
      </c>
      <c r="N627">
        <v>6</v>
      </c>
      <c r="O627">
        <v>992.44500000000005</v>
      </c>
      <c r="P627">
        <v>0.6</v>
      </c>
      <c r="Q627">
        <v>20</v>
      </c>
      <c r="R627">
        <v>3</v>
      </c>
      <c r="S627" t="s">
        <v>116</v>
      </c>
      <c r="T627">
        <v>3</v>
      </c>
      <c r="U627">
        <v>3</v>
      </c>
      <c r="V627">
        <v>0</v>
      </c>
      <c r="W627">
        <v>0</v>
      </c>
      <c r="X627">
        <v>0</v>
      </c>
      <c r="Y627" s="20">
        <f>SUM(Table1[[#This Row],[dty_type_cnt1]:[dty_type_cnt5]])</f>
        <v>6</v>
      </c>
    </row>
    <row r="628" spans="1:25" x14ac:dyDescent="0.25">
      <c r="A628" s="15">
        <v>46101</v>
      </c>
      <c r="B628" t="s">
        <v>430</v>
      </c>
      <c r="C628" t="s">
        <v>256</v>
      </c>
      <c r="D628" t="s">
        <v>49</v>
      </c>
      <c r="E628" t="s">
        <v>105</v>
      </c>
      <c r="F628" t="s">
        <v>152</v>
      </c>
      <c r="G628" t="s">
        <v>258</v>
      </c>
      <c r="H628" t="s">
        <v>259</v>
      </c>
      <c r="J628" t="s">
        <v>76</v>
      </c>
      <c r="K628" t="s">
        <v>2</v>
      </c>
      <c r="L628">
        <v>27452</v>
      </c>
      <c r="M628">
        <v>10</v>
      </c>
      <c r="N628">
        <v>2</v>
      </c>
      <c r="O628">
        <v>309.65499999999997</v>
      </c>
      <c r="P628">
        <v>6.5</v>
      </c>
      <c r="Q628">
        <v>20</v>
      </c>
      <c r="R628">
        <v>1</v>
      </c>
      <c r="S628" t="s">
        <v>116</v>
      </c>
      <c r="T628">
        <v>1</v>
      </c>
      <c r="U628">
        <v>1</v>
      </c>
      <c r="V628">
        <v>0</v>
      </c>
      <c r="W628">
        <v>0</v>
      </c>
      <c r="X628">
        <v>0</v>
      </c>
      <c r="Y628" s="20">
        <f>SUM(Table1[[#This Row],[dty_type_cnt1]:[dty_type_cnt5]])</f>
        <v>2</v>
      </c>
    </row>
    <row r="629" spans="1:25" x14ac:dyDescent="0.25">
      <c r="A629" s="15">
        <v>46101</v>
      </c>
      <c r="B629" t="s">
        <v>430</v>
      </c>
      <c r="C629" t="s">
        <v>256</v>
      </c>
      <c r="D629" t="s">
        <v>49</v>
      </c>
      <c r="E629" t="s">
        <v>254</v>
      </c>
      <c r="F629" t="s">
        <v>255</v>
      </c>
      <c r="G629" t="s">
        <v>258</v>
      </c>
      <c r="H629" t="s">
        <v>259</v>
      </c>
      <c r="J629" t="s">
        <v>0</v>
      </c>
      <c r="K629" t="s">
        <v>2</v>
      </c>
      <c r="L629">
        <v>27452</v>
      </c>
      <c r="M629">
        <v>30</v>
      </c>
      <c r="N629">
        <v>7</v>
      </c>
      <c r="O629">
        <v>871.06500000000005</v>
      </c>
      <c r="P629">
        <v>132.30000000000001</v>
      </c>
      <c r="Q629">
        <v>30</v>
      </c>
      <c r="R629">
        <v>4</v>
      </c>
      <c r="S629" t="s">
        <v>116</v>
      </c>
      <c r="T629">
        <v>3</v>
      </c>
      <c r="U629">
        <v>3</v>
      </c>
      <c r="V629">
        <v>0</v>
      </c>
      <c r="W629">
        <v>0</v>
      </c>
      <c r="X629">
        <v>0</v>
      </c>
      <c r="Y629" s="20">
        <f>SUM(Table1[[#This Row],[dty_type_cnt1]:[dty_type_cnt5]])</f>
        <v>6</v>
      </c>
    </row>
    <row r="630" spans="1:25" x14ac:dyDescent="0.25">
      <c r="A630" s="15">
        <v>46101</v>
      </c>
      <c r="B630" t="s">
        <v>430</v>
      </c>
      <c r="C630" t="s">
        <v>256</v>
      </c>
      <c r="D630" t="s">
        <v>49</v>
      </c>
      <c r="E630" t="s">
        <v>231</v>
      </c>
      <c r="F630" t="s">
        <v>232</v>
      </c>
      <c r="G630" t="s">
        <v>258</v>
      </c>
      <c r="H630" t="s">
        <v>259</v>
      </c>
      <c r="J630" t="s">
        <v>0</v>
      </c>
      <c r="K630" t="s">
        <v>2</v>
      </c>
      <c r="L630">
        <v>27452</v>
      </c>
      <c r="M630">
        <v>14</v>
      </c>
      <c r="N630">
        <v>2</v>
      </c>
      <c r="O630">
        <v>688.8</v>
      </c>
      <c r="P630">
        <v>0.2</v>
      </c>
      <c r="Q630">
        <v>30</v>
      </c>
      <c r="R630">
        <v>1</v>
      </c>
      <c r="S630" t="s">
        <v>116</v>
      </c>
      <c r="T630">
        <v>1</v>
      </c>
      <c r="U630">
        <v>1</v>
      </c>
      <c r="V630">
        <v>0</v>
      </c>
      <c r="W630">
        <v>0</v>
      </c>
      <c r="X630">
        <v>0</v>
      </c>
      <c r="Y630" s="20">
        <f>SUM(Table1[[#This Row],[dty_type_cnt1]:[dty_type_cnt5]])</f>
        <v>2</v>
      </c>
    </row>
    <row r="631" spans="1:25" x14ac:dyDescent="0.25">
      <c r="A631" s="15">
        <v>46101</v>
      </c>
      <c r="B631" t="s">
        <v>430</v>
      </c>
      <c r="C631" t="s">
        <v>256</v>
      </c>
      <c r="D631" t="s">
        <v>46</v>
      </c>
      <c r="E631">
        <v>7</v>
      </c>
      <c r="F631" t="s">
        <v>257</v>
      </c>
      <c r="G631" t="s">
        <v>258</v>
      </c>
      <c r="H631" t="s">
        <v>259</v>
      </c>
      <c r="J631" t="s">
        <v>156</v>
      </c>
      <c r="K631" t="s">
        <v>45</v>
      </c>
      <c r="L631">
        <v>27454</v>
      </c>
      <c r="M631">
        <v>80</v>
      </c>
      <c r="N631">
        <v>14</v>
      </c>
      <c r="O631">
        <v>1368.68</v>
      </c>
      <c r="P631">
        <v>73.400000000000006</v>
      </c>
      <c r="Q631">
        <v>25</v>
      </c>
      <c r="R631">
        <v>6</v>
      </c>
      <c r="S631" t="s">
        <v>116</v>
      </c>
      <c r="T631">
        <v>6</v>
      </c>
      <c r="U631">
        <v>5</v>
      </c>
      <c r="V631">
        <v>1</v>
      </c>
      <c r="W631">
        <v>0</v>
      </c>
      <c r="X631">
        <v>0</v>
      </c>
      <c r="Y631" s="20">
        <f>SUM(Table1[[#This Row],[dty_type_cnt1]:[dty_type_cnt5]])</f>
        <v>12</v>
      </c>
    </row>
    <row r="632" spans="1:25" x14ac:dyDescent="0.25">
      <c r="A632" s="15">
        <v>46101</v>
      </c>
      <c r="B632" t="s">
        <v>430</v>
      </c>
      <c r="C632" t="s">
        <v>256</v>
      </c>
      <c r="D632" t="s">
        <v>46</v>
      </c>
      <c r="E632">
        <v>8</v>
      </c>
      <c r="F632" t="s">
        <v>61</v>
      </c>
      <c r="G632" t="s">
        <v>258</v>
      </c>
      <c r="H632" t="s">
        <v>259</v>
      </c>
      <c r="J632" t="s">
        <v>0</v>
      </c>
      <c r="K632" t="s">
        <v>45</v>
      </c>
      <c r="L632">
        <v>27454</v>
      </c>
      <c r="M632">
        <v>16</v>
      </c>
      <c r="N632">
        <v>8</v>
      </c>
      <c r="O632">
        <v>599.798</v>
      </c>
      <c r="P632">
        <v>176.6</v>
      </c>
      <c r="Q632">
        <v>20</v>
      </c>
      <c r="R632">
        <v>4</v>
      </c>
      <c r="S632" t="s">
        <v>116</v>
      </c>
      <c r="T632">
        <v>1</v>
      </c>
      <c r="U632">
        <v>4</v>
      </c>
      <c r="V632">
        <v>0</v>
      </c>
      <c r="W632">
        <v>0</v>
      </c>
      <c r="X632">
        <v>0</v>
      </c>
      <c r="Y632" s="20">
        <f>SUM(Table1[[#This Row],[dty_type_cnt1]:[dty_type_cnt5]])</f>
        <v>5</v>
      </c>
    </row>
    <row r="633" spans="1:25" x14ac:dyDescent="0.25">
      <c r="A633" s="15">
        <v>46101</v>
      </c>
      <c r="B633" t="s">
        <v>430</v>
      </c>
      <c r="C633" t="s">
        <v>256</v>
      </c>
      <c r="D633" t="s">
        <v>46</v>
      </c>
      <c r="E633">
        <v>9</v>
      </c>
      <c r="F633" t="s">
        <v>260</v>
      </c>
      <c r="G633" t="s">
        <v>258</v>
      </c>
      <c r="H633" t="s">
        <v>259</v>
      </c>
      <c r="J633" t="s">
        <v>156</v>
      </c>
      <c r="K633" t="s">
        <v>45</v>
      </c>
      <c r="L633">
        <v>27454</v>
      </c>
      <c r="M633">
        <v>77</v>
      </c>
      <c r="N633">
        <v>8</v>
      </c>
      <c r="O633">
        <v>909.29200000000003</v>
      </c>
      <c r="P633">
        <v>32.6</v>
      </c>
      <c r="Q633">
        <v>30</v>
      </c>
      <c r="R633">
        <v>4</v>
      </c>
      <c r="S633" t="s">
        <v>116</v>
      </c>
      <c r="T633">
        <v>5</v>
      </c>
      <c r="U633">
        <v>3</v>
      </c>
      <c r="V633">
        <v>2</v>
      </c>
      <c r="W633">
        <v>0</v>
      </c>
      <c r="X633">
        <v>0</v>
      </c>
      <c r="Y633" s="20">
        <f>SUM(Table1[[#This Row],[dty_type_cnt1]:[dty_type_cnt5]])</f>
        <v>10</v>
      </c>
    </row>
    <row r="634" spans="1:25" x14ac:dyDescent="0.25">
      <c r="A634" s="15">
        <v>46101</v>
      </c>
      <c r="B634" t="s">
        <v>430</v>
      </c>
      <c r="C634" t="s">
        <v>256</v>
      </c>
      <c r="D634" t="s">
        <v>46</v>
      </c>
      <c r="E634">
        <v>10</v>
      </c>
      <c r="F634" t="s">
        <v>261</v>
      </c>
      <c r="G634" t="s">
        <v>258</v>
      </c>
      <c r="H634" t="s">
        <v>259</v>
      </c>
      <c r="J634" t="s">
        <v>156</v>
      </c>
      <c r="K634" t="s">
        <v>45</v>
      </c>
      <c r="L634">
        <v>27454</v>
      </c>
      <c r="M634">
        <v>58</v>
      </c>
      <c r="N634">
        <v>8</v>
      </c>
      <c r="O634">
        <v>1471.4770000000001</v>
      </c>
      <c r="P634">
        <v>78.3</v>
      </c>
      <c r="Q634">
        <v>30</v>
      </c>
      <c r="R634">
        <v>4</v>
      </c>
      <c r="S634" t="s">
        <v>116</v>
      </c>
      <c r="T634">
        <v>4</v>
      </c>
      <c r="U634">
        <v>4</v>
      </c>
      <c r="V634">
        <v>0</v>
      </c>
      <c r="W634">
        <v>0</v>
      </c>
      <c r="X634">
        <v>0</v>
      </c>
      <c r="Y634" s="20">
        <f>SUM(Table1[[#This Row],[dty_type_cnt1]:[dty_type_cnt5]])</f>
        <v>8</v>
      </c>
    </row>
    <row r="635" spans="1:25" x14ac:dyDescent="0.25">
      <c r="A635" s="15">
        <v>46101</v>
      </c>
      <c r="B635" t="s">
        <v>430</v>
      </c>
      <c r="C635" t="s">
        <v>256</v>
      </c>
      <c r="D635" t="s">
        <v>406</v>
      </c>
      <c r="E635">
        <v>105</v>
      </c>
      <c r="F635" t="s">
        <v>263</v>
      </c>
      <c r="G635" t="s">
        <v>258</v>
      </c>
      <c r="H635" t="s">
        <v>259</v>
      </c>
      <c r="J635" t="s">
        <v>156</v>
      </c>
      <c r="K635" t="s">
        <v>45</v>
      </c>
      <c r="L635">
        <v>27454</v>
      </c>
      <c r="M635">
        <v>68</v>
      </c>
      <c r="N635">
        <v>8</v>
      </c>
      <c r="O635">
        <v>771.12</v>
      </c>
      <c r="P635">
        <v>51.2</v>
      </c>
      <c r="Q635">
        <v>20</v>
      </c>
      <c r="R635">
        <v>4</v>
      </c>
      <c r="S635" t="s">
        <v>116</v>
      </c>
      <c r="T635">
        <v>4</v>
      </c>
      <c r="U635">
        <v>4</v>
      </c>
      <c r="V635">
        <v>0</v>
      </c>
      <c r="W635">
        <v>0</v>
      </c>
      <c r="X635">
        <v>0</v>
      </c>
      <c r="Y635" s="20">
        <f>SUM(Table1[[#This Row],[dty_type_cnt1]:[dty_type_cnt5]])</f>
        <v>8</v>
      </c>
    </row>
    <row r="636" spans="1:25" x14ac:dyDescent="0.25">
      <c r="A636" s="15">
        <v>46101</v>
      </c>
      <c r="B636" t="s">
        <v>430</v>
      </c>
      <c r="C636" t="s">
        <v>256</v>
      </c>
      <c r="D636" t="s">
        <v>46</v>
      </c>
      <c r="E636">
        <v>110</v>
      </c>
      <c r="F636" t="s">
        <v>264</v>
      </c>
      <c r="G636" t="s">
        <v>258</v>
      </c>
      <c r="H636" t="s">
        <v>259</v>
      </c>
      <c r="J636" t="s">
        <v>156</v>
      </c>
      <c r="K636" t="s">
        <v>45</v>
      </c>
      <c r="L636">
        <v>27454</v>
      </c>
      <c r="M636">
        <v>60</v>
      </c>
      <c r="N636">
        <v>2</v>
      </c>
      <c r="O636">
        <v>179.58</v>
      </c>
      <c r="P636">
        <v>10.3</v>
      </c>
      <c r="Q636">
        <v>29</v>
      </c>
      <c r="R636">
        <v>1</v>
      </c>
      <c r="S636" t="s">
        <v>116</v>
      </c>
      <c r="T636">
        <v>1</v>
      </c>
      <c r="U636">
        <v>0</v>
      </c>
      <c r="V636">
        <v>1</v>
      </c>
      <c r="W636">
        <v>0</v>
      </c>
      <c r="X636">
        <v>0</v>
      </c>
      <c r="Y636" s="20">
        <f>SUM(Table1[[#This Row],[dty_type_cnt1]:[dty_type_cnt5]])</f>
        <v>2</v>
      </c>
    </row>
    <row r="637" spans="1:25" x14ac:dyDescent="0.25">
      <c r="A637" s="15">
        <v>46101</v>
      </c>
      <c r="B637" t="s">
        <v>430</v>
      </c>
      <c r="C637" t="s">
        <v>256</v>
      </c>
      <c r="D637" t="s">
        <v>46</v>
      </c>
      <c r="E637">
        <v>12</v>
      </c>
      <c r="F637" t="s">
        <v>265</v>
      </c>
      <c r="G637" t="s">
        <v>258</v>
      </c>
      <c r="H637" t="s">
        <v>259</v>
      </c>
      <c r="J637" t="s">
        <v>156</v>
      </c>
      <c r="K637" t="s">
        <v>45</v>
      </c>
      <c r="L637">
        <v>27454</v>
      </c>
      <c r="M637">
        <v>76</v>
      </c>
      <c r="N637">
        <v>14</v>
      </c>
      <c r="O637">
        <v>2143.0259999999998</v>
      </c>
      <c r="P637">
        <v>125.7</v>
      </c>
      <c r="Q637">
        <v>25</v>
      </c>
      <c r="R637">
        <v>7</v>
      </c>
      <c r="S637" t="s">
        <v>116</v>
      </c>
      <c r="T637">
        <v>6</v>
      </c>
      <c r="U637">
        <v>7</v>
      </c>
      <c r="V637">
        <v>0</v>
      </c>
      <c r="W637">
        <v>0</v>
      </c>
      <c r="X637">
        <v>0</v>
      </c>
      <c r="Y637" s="20">
        <f>SUM(Table1[[#This Row],[dty_type_cnt1]:[dty_type_cnt5]])</f>
        <v>13</v>
      </c>
    </row>
    <row r="638" spans="1:25" x14ac:dyDescent="0.25">
      <c r="A638" s="15">
        <v>46101</v>
      </c>
      <c r="B638" t="s">
        <v>430</v>
      </c>
      <c r="C638" t="s">
        <v>256</v>
      </c>
      <c r="D638" t="s">
        <v>46</v>
      </c>
      <c r="E638">
        <v>14</v>
      </c>
      <c r="F638" t="s">
        <v>317</v>
      </c>
      <c r="G638" t="s">
        <v>258</v>
      </c>
      <c r="H638" t="s">
        <v>259</v>
      </c>
      <c r="J638" t="s">
        <v>156</v>
      </c>
      <c r="K638" t="s">
        <v>45</v>
      </c>
      <c r="L638">
        <v>27454</v>
      </c>
      <c r="M638">
        <v>78</v>
      </c>
      <c r="N638">
        <v>12</v>
      </c>
      <c r="O638">
        <v>1027.6890000000001</v>
      </c>
      <c r="P638">
        <v>82.7</v>
      </c>
      <c r="Q638">
        <v>30</v>
      </c>
      <c r="R638">
        <v>5</v>
      </c>
      <c r="S638" t="s">
        <v>116</v>
      </c>
      <c r="T638">
        <v>6</v>
      </c>
      <c r="U638">
        <v>4</v>
      </c>
      <c r="V638">
        <v>1</v>
      </c>
      <c r="W638">
        <v>0</v>
      </c>
      <c r="X638">
        <v>0</v>
      </c>
      <c r="Y638" s="20">
        <f>SUM(Table1[[#This Row],[dty_type_cnt1]:[dty_type_cnt5]])</f>
        <v>11</v>
      </c>
    </row>
    <row r="639" spans="1:25" x14ac:dyDescent="0.25">
      <c r="A639" s="15">
        <v>46101</v>
      </c>
      <c r="B639" t="s">
        <v>430</v>
      </c>
      <c r="C639" t="s">
        <v>256</v>
      </c>
      <c r="D639" t="s">
        <v>46</v>
      </c>
      <c r="E639">
        <v>15</v>
      </c>
      <c r="F639" t="s">
        <v>266</v>
      </c>
      <c r="G639" t="s">
        <v>258</v>
      </c>
      <c r="H639" t="s">
        <v>259</v>
      </c>
      <c r="J639" t="s">
        <v>0</v>
      </c>
      <c r="K639" t="s">
        <v>45</v>
      </c>
      <c r="L639">
        <v>27454</v>
      </c>
      <c r="M639">
        <v>88</v>
      </c>
      <c r="N639">
        <v>18</v>
      </c>
      <c r="O639">
        <v>2075.2579999999998</v>
      </c>
      <c r="P639">
        <v>126.1</v>
      </c>
      <c r="Q639">
        <v>20</v>
      </c>
      <c r="R639">
        <v>9</v>
      </c>
      <c r="S639" t="s">
        <v>116</v>
      </c>
      <c r="T639">
        <v>6</v>
      </c>
      <c r="U639">
        <v>9</v>
      </c>
      <c r="V639">
        <v>1</v>
      </c>
      <c r="W639">
        <v>0</v>
      </c>
      <c r="X639">
        <v>0</v>
      </c>
      <c r="Y639" s="20">
        <f>SUM(Table1[[#This Row],[dty_type_cnt1]:[dty_type_cnt5]])</f>
        <v>16</v>
      </c>
    </row>
    <row r="640" spans="1:25" x14ac:dyDescent="0.25">
      <c r="A640" s="15">
        <v>46101</v>
      </c>
      <c r="B640" t="s">
        <v>430</v>
      </c>
      <c r="C640" t="s">
        <v>256</v>
      </c>
      <c r="D640" t="s">
        <v>46</v>
      </c>
      <c r="E640" t="s">
        <v>267</v>
      </c>
      <c r="F640" t="s">
        <v>268</v>
      </c>
      <c r="G640" t="s">
        <v>258</v>
      </c>
      <c r="H640" t="s">
        <v>259</v>
      </c>
      <c r="J640" t="s">
        <v>0</v>
      </c>
      <c r="K640" t="s">
        <v>45</v>
      </c>
      <c r="L640">
        <v>27454</v>
      </c>
      <c r="M640">
        <v>42</v>
      </c>
      <c r="N640">
        <v>8</v>
      </c>
      <c r="O640">
        <v>830.97</v>
      </c>
      <c r="P640">
        <v>46.4</v>
      </c>
      <c r="Q640">
        <v>0</v>
      </c>
      <c r="R640">
        <v>4</v>
      </c>
      <c r="S640" t="s">
        <v>116</v>
      </c>
      <c r="T640">
        <v>5</v>
      </c>
      <c r="U640">
        <v>5</v>
      </c>
      <c r="V640">
        <v>1</v>
      </c>
      <c r="W640">
        <v>0</v>
      </c>
      <c r="X640">
        <v>0</v>
      </c>
      <c r="Y640" s="20">
        <f>SUM(Table1[[#This Row],[dty_type_cnt1]:[dty_type_cnt5]])</f>
        <v>11</v>
      </c>
    </row>
    <row r="641" spans="1:25" x14ac:dyDescent="0.25">
      <c r="A641" s="15">
        <v>46101</v>
      </c>
      <c r="B641" t="s">
        <v>430</v>
      </c>
      <c r="C641" t="s">
        <v>256</v>
      </c>
      <c r="D641" t="s">
        <v>46</v>
      </c>
      <c r="E641" t="s">
        <v>269</v>
      </c>
      <c r="F641" t="s">
        <v>265</v>
      </c>
      <c r="G641" t="s">
        <v>258</v>
      </c>
      <c r="H641" t="s">
        <v>259</v>
      </c>
      <c r="J641" t="s">
        <v>156</v>
      </c>
      <c r="K641" t="s">
        <v>45</v>
      </c>
      <c r="L641">
        <v>27454</v>
      </c>
      <c r="M641">
        <v>44</v>
      </c>
      <c r="N641">
        <v>12</v>
      </c>
      <c r="O641">
        <v>1101.452</v>
      </c>
      <c r="P641">
        <v>104.2</v>
      </c>
      <c r="Q641">
        <v>20</v>
      </c>
      <c r="R641">
        <v>4</v>
      </c>
      <c r="S641" t="s">
        <v>116</v>
      </c>
      <c r="T641">
        <v>2</v>
      </c>
      <c r="U641">
        <v>3</v>
      </c>
      <c r="V641">
        <v>1</v>
      </c>
      <c r="W641">
        <v>0</v>
      </c>
      <c r="X641">
        <v>0</v>
      </c>
      <c r="Y641" s="20">
        <f>SUM(Table1[[#This Row],[dty_type_cnt1]:[dty_type_cnt5]])</f>
        <v>6</v>
      </c>
    </row>
    <row r="642" spans="1:25" x14ac:dyDescent="0.25">
      <c r="A642" s="15">
        <v>46101</v>
      </c>
      <c r="B642" t="s">
        <v>430</v>
      </c>
      <c r="C642" t="s">
        <v>256</v>
      </c>
      <c r="D642" t="s">
        <v>46</v>
      </c>
      <c r="E642">
        <v>23</v>
      </c>
      <c r="F642" t="s">
        <v>318</v>
      </c>
      <c r="G642" t="s">
        <v>258</v>
      </c>
      <c r="H642" t="s">
        <v>259</v>
      </c>
      <c r="J642" t="s">
        <v>156</v>
      </c>
      <c r="K642" t="s">
        <v>45</v>
      </c>
      <c r="L642">
        <v>27454</v>
      </c>
      <c r="M642">
        <v>33</v>
      </c>
      <c r="N642">
        <v>8</v>
      </c>
      <c r="O642">
        <v>775.90300000000002</v>
      </c>
      <c r="P642">
        <v>82.8</v>
      </c>
      <c r="Q642">
        <v>30</v>
      </c>
      <c r="R642">
        <v>4</v>
      </c>
      <c r="S642" t="s">
        <v>116</v>
      </c>
      <c r="T642">
        <v>4</v>
      </c>
      <c r="U642">
        <v>2</v>
      </c>
      <c r="V642">
        <v>2</v>
      </c>
      <c r="W642">
        <v>0</v>
      </c>
      <c r="X642">
        <v>0</v>
      </c>
      <c r="Y642" s="20">
        <f>SUM(Table1[[#This Row],[dty_type_cnt1]:[dty_type_cnt5]])</f>
        <v>8</v>
      </c>
    </row>
    <row r="643" spans="1:25" x14ac:dyDescent="0.25">
      <c r="A643" s="15">
        <v>46101</v>
      </c>
      <c r="B643" t="s">
        <v>430</v>
      </c>
      <c r="C643" t="s">
        <v>256</v>
      </c>
      <c r="D643" t="s">
        <v>46</v>
      </c>
      <c r="E643">
        <v>27</v>
      </c>
      <c r="F643" t="s">
        <v>270</v>
      </c>
      <c r="G643" t="s">
        <v>258</v>
      </c>
      <c r="H643" t="s">
        <v>259</v>
      </c>
      <c r="J643" t="s">
        <v>156</v>
      </c>
      <c r="K643" t="s">
        <v>45</v>
      </c>
      <c r="L643">
        <v>27454</v>
      </c>
      <c r="M643">
        <v>6</v>
      </c>
      <c r="N643">
        <v>2</v>
      </c>
      <c r="O643">
        <v>119.97</v>
      </c>
      <c r="P643">
        <v>49.8</v>
      </c>
      <c r="Q643">
        <v>30</v>
      </c>
      <c r="R643">
        <v>1</v>
      </c>
      <c r="S643" t="s">
        <v>116</v>
      </c>
      <c r="T643">
        <v>0</v>
      </c>
      <c r="U643">
        <v>1</v>
      </c>
      <c r="V643">
        <v>1</v>
      </c>
      <c r="W643">
        <v>0</v>
      </c>
      <c r="X643">
        <v>0</v>
      </c>
      <c r="Y643" s="20">
        <f>SUM(Table1[[#This Row],[dty_type_cnt1]:[dty_type_cnt5]])</f>
        <v>2</v>
      </c>
    </row>
    <row r="644" spans="1:25" x14ac:dyDescent="0.25">
      <c r="A644" s="15">
        <v>46101</v>
      </c>
      <c r="B644" t="s">
        <v>430</v>
      </c>
      <c r="C644" t="s">
        <v>256</v>
      </c>
      <c r="D644" t="s">
        <v>46</v>
      </c>
      <c r="E644">
        <v>29</v>
      </c>
      <c r="F644" t="s">
        <v>271</v>
      </c>
      <c r="G644" t="s">
        <v>258</v>
      </c>
      <c r="H644" t="s">
        <v>259</v>
      </c>
      <c r="J644" t="s">
        <v>156</v>
      </c>
      <c r="K644" t="s">
        <v>45</v>
      </c>
      <c r="L644">
        <v>27454</v>
      </c>
      <c r="M644">
        <v>71</v>
      </c>
      <c r="N644">
        <v>14</v>
      </c>
      <c r="O644">
        <v>956.32600000000002</v>
      </c>
      <c r="P644">
        <v>182.9</v>
      </c>
      <c r="Q644">
        <v>25</v>
      </c>
      <c r="R644">
        <v>7</v>
      </c>
      <c r="S644" t="s">
        <v>116</v>
      </c>
      <c r="T644">
        <v>6</v>
      </c>
      <c r="U644">
        <v>6</v>
      </c>
      <c r="V644">
        <v>1</v>
      </c>
      <c r="W644">
        <v>0</v>
      </c>
      <c r="X644">
        <v>0</v>
      </c>
      <c r="Y644" s="20">
        <f>SUM(Table1[[#This Row],[dty_type_cnt1]:[dty_type_cnt5]])</f>
        <v>13</v>
      </c>
    </row>
    <row r="645" spans="1:25" x14ac:dyDescent="0.25">
      <c r="A645" s="15">
        <v>46101</v>
      </c>
      <c r="B645" t="s">
        <v>430</v>
      </c>
      <c r="C645" t="s">
        <v>256</v>
      </c>
      <c r="D645" t="s">
        <v>46</v>
      </c>
      <c r="E645">
        <v>33</v>
      </c>
      <c r="F645" t="s">
        <v>238</v>
      </c>
      <c r="G645" t="s">
        <v>258</v>
      </c>
      <c r="H645" t="s">
        <v>259</v>
      </c>
      <c r="J645" t="s">
        <v>0</v>
      </c>
      <c r="K645" t="s">
        <v>45</v>
      </c>
      <c r="L645">
        <v>27454</v>
      </c>
      <c r="M645">
        <v>24</v>
      </c>
      <c r="N645">
        <v>4</v>
      </c>
      <c r="O645">
        <v>673.33199999999999</v>
      </c>
      <c r="P645">
        <v>13</v>
      </c>
      <c r="Q645">
        <v>30</v>
      </c>
      <c r="R645">
        <v>2</v>
      </c>
      <c r="S645" t="s">
        <v>116</v>
      </c>
      <c r="T645">
        <v>4</v>
      </c>
      <c r="U645">
        <v>0</v>
      </c>
      <c r="V645">
        <v>2</v>
      </c>
      <c r="W645">
        <v>0</v>
      </c>
      <c r="X645">
        <v>0</v>
      </c>
      <c r="Y645" s="20">
        <f>SUM(Table1[[#This Row],[dty_type_cnt1]:[dty_type_cnt5]])</f>
        <v>6</v>
      </c>
    </row>
    <row r="646" spans="1:25" x14ac:dyDescent="0.25">
      <c r="A646" s="15">
        <v>46101</v>
      </c>
      <c r="B646" t="s">
        <v>430</v>
      </c>
      <c r="C646" t="s">
        <v>256</v>
      </c>
      <c r="D646" t="s">
        <v>46</v>
      </c>
      <c r="E646">
        <v>44</v>
      </c>
      <c r="F646" t="s">
        <v>117</v>
      </c>
      <c r="G646" t="s">
        <v>258</v>
      </c>
      <c r="H646" t="s">
        <v>259</v>
      </c>
      <c r="J646" t="s">
        <v>0</v>
      </c>
      <c r="K646" t="s">
        <v>45</v>
      </c>
      <c r="L646">
        <v>27454</v>
      </c>
      <c r="M646">
        <v>27</v>
      </c>
      <c r="N646">
        <v>6</v>
      </c>
      <c r="O646">
        <v>862.01199999999994</v>
      </c>
      <c r="P646">
        <v>53.7</v>
      </c>
      <c r="Q646">
        <v>30</v>
      </c>
      <c r="R646">
        <v>3</v>
      </c>
      <c r="S646" t="s">
        <v>116</v>
      </c>
      <c r="T646">
        <v>3</v>
      </c>
      <c r="U646">
        <v>3</v>
      </c>
      <c r="V646">
        <v>0</v>
      </c>
      <c r="W646">
        <v>0</v>
      </c>
      <c r="X646">
        <v>0</v>
      </c>
      <c r="Y646" s="20">
        <f>SUM(Table1[[#This Row],[dty_type_cnt1]:[dty_type_cnt5]])</f>
        <v>6</v>
      </c>
    </row>
    <row r="647" spans="1:25" x14ac:dyDescent="0.25">
      <c r="A647" s="15">
        <v>46101</v>
      </c>
      <c r="B647" t="s">
        <v>430</v>
      </c>
      <c r="C647" t="s">
        <v>256</v>
      </c>
      <c r="D647" t="s">
        <v>46</v>
      </c>
      <c r="E647">
        <v>51</v>
      </c>
      <c r="F647" t="s">
        <v>272</v>
      </c>
      <c r="G647" t="s">
        <v>258</v>
      </c>
      <c r="H647" t="s">
        <v>259</v>
      </c>
      <c r="J647" t="s">
        <v>156</v>
      </c>
      <c r="K647" t="s">
        <v>45</v>
      </c>
      <c r="L647">
        <v>27454</v>
      </c>
      <c r="M647">
        <v>38</v>
      </c>
      <c r="N647">
        <v>6</v>
      </c>
      <c r="O647">
        <v>936.44500000000005</v>
      </c>
      <c r="P647">
        <v>27.3</v>
      </c>
      <c r="Q647">
        <v>25</v>
      </c>
      <c r="R647">
        <v>3</v>
      </c>
      <c r="S647" t="s">
        <v>116</v>
      </c>
      <c r="T647">
        <v>3</v>
      </c>
      <c r="U647">
        <v>2</v>
      </c>
      <c r="V647">
        <v>1</v>
      </c>
      <c r="W647">
        <v>0</v>
      </c>
      <c r="X647">
        <v>0</v>
      </c>
      <c r="Y647" s="20">
        <f>SUM(Table1[[#This Row],[dty_type_cnt1]:[dty_type_cnt5]])</f>
        <v>6</v>
      </c>
    </row>
    <row r="648" spans="1:25" x14ac:dyDescent="0.25">
      <c r="A648" s="15">
        <v>46101</v>
      </c>
      <c r="B648" t="s">
        <v>430</v>
      </c>
      <c r="C648" t="s">
        <v>256</v>
      </c>
      <c r="D648" t="s">
        <v>46</v>
      </c>
      <c r="E648">
        <v>55</v>
      </c>
      <c r="F648" t="s">
        <v>48</v>
      </c>
      <c r="G648" t="s">
        <v>258</v>
      </c>
      <c r="H648" t="s">
        <v>259</v>
      </c>
      <c r="J648" t="s">
        <v>0</v>
      </c>
      <c r="K648" t="s">
        <v>45</v>
      </c>
      <c r="L648">
        <v>27454</v>
      </c>
      <c r="M648">
        <v>14</v>
      </c>
      <c r="N648">
        <v>2</v>
      </c>
      <c r="O648">
        <v>370.72699999999998</v>
      </c>
      <c r="P648">
        <v>0.2</v>
      </c>
      <c r="Q648">
        <v>60</v>
      </c>
      <c r="R648">
        <v>1</v>
      </c>
      <c r="S648" t="s">
        <v>116</v>
      </c>
      <c r="T648">
        <v>1</v>
      </c>
      <c r="U648">
        <v>1</v>
      </c>
      <c r="V648">
        <v>0</v>
      </c>
      <c r="W648">
        <v>0</v>
      </c>
      <c r="X648">
        <v>0</v>
      </c>
      <c r="Y648" s="20">
        <f>SUM(Table1[[#This Row],[dty_type_cnt1]:[dty_type_cnt5]])</f>
        <v>2</v>
      </c>
    </row>
    <row r="649" spans="1:25" x14ac:dyDescent="0.25">
      <c r="A649" s="15">
        <v>46101</v>
      </c>
      <c r="B649" t="s">
        <v>430</v>
      </c>
      <c r="C649" t="s">
        <v>256</v>
      </c>
      <c r="D649" t="s">
        <v>46</v>
      </c>
      <c r="E649">
        <v>61</v>
      </c>
      <c r="F649" t="s">
        <v>378</v>
      </c>
      <c r="G649" t="s">
        <v>258</v>
      </c>
      <c r="H649" t="s">
        <v>259</v>
      </c>
      <c r="J649" t="s">
        <v>0</v>
      </c>
      <c r="K649" t="s">
        <v>45</v>
      </c>
      <c r="L649">
        <v>27454</v>
      </c>
      <c r="M649">
        <v>12</v>
      </c>
      <c r="N649">
        <v>2</v>
      </c>
      <c r="O649">
        <v>316.02999999999997</v>
      </c>
      <c r="P649">
        <v>11.1</v>
      </c>
      <c r="Q649">
        <v>60</v>
      </c>
      <c r="R649">
        <v>1</v>
      </c>
      <c r="S649" t="s">
        <v>116</v>
      </c>
      <c r="T649">
        <v>1</v>
      </c>
      <c r="U649">
        <v>1</v>
      </c>
      <c r="V649">
        <v>0</v>
      </c>
      <c r="W649">
        <v>0</v>
      </c>
      <c r="X649">
        <v>0</v>
      </c>
      <c r="Y649" s="20">
        <f>SUM(Table1[[#This Row],[dty_type_cnt1]:[dty_type_cnt5]])</f>
        <v>2</v>
      </c>
    </row>
    <row r="650" spans="1:25" x14ac:dyDescent="0.25">
      <c r="A650" s="15">
        <v>46101</v>
      </c>
      <c r="B650" t="s">
        <v>430</v>
      </c>
      <c r="C650" t="s">
        <v>256</v>
      </c>
      <c r="D650" t="s">
        <v>46</v>
      </c>
      <c r="E650" t="s">
        <v>273</v>
      </c>
      <c r="F650" t="s">
        <v>274</v>
      </c>
      <c r="G650" t="s">
        <v>258</v>
      </c>
      <c r="H650" t="s">
        <v>259</v>
      </c>
      <c r="J650" t="s">
        <v>156</v>
      </c>
      <c r="K650" t="s">
        <v>45</v>
      </c>
      <c r="L650">
        <v>27454</v>
      </c>
      <c r="M650">
        <v>62</v>
      </c>
      <c r="N650">
        <v>10</v>
      </c>
      <c r="O650">
        <v>2674.0230000000001</v>
      </c>
      <c r="P650">
        <v>226.3</v>
      </c>
      <c r="Q650">
        <v>30</v>
      </c>
      <c r="R650">
        <v>5</v>
      </c>
      <c r="S650" t="s">
        <v>116</v>
      </c>
      <c r="T650">
        <v>7</v>
      </c>
      <c r="U650">
        <v>7</v>
      </c>
      <c r="V650">
        <v>0</v>
      </c>
      <c r="W650">
        <v>0</v>
      </c>
      <c r="X650">
        <v>0</v>
      </c>
      <c r="Y650" s="20">
        <f>SUM(Table1[[#This Row],[dty_type_cnt1]:[dty_type_cnt5]])</f>
        <v>14</v>
      </c>
    </row>
    <row r="651" spans="1:25" x14ac:dyDescent="0.25">
      <c r="A651" s="15">
        <v>46101</v>
      </c>
      <c r="B651" t="s">
        <v>430</v>
      </c>
      <c r="C651" t="s">
        <v>256</v>
      </c>
      <c r="D651" t="s">
        <v>46</v>
      </c>
      <c r="E651">
        <v>81</v>
      </c>
      <c r="F651" t="s">
        <v>275</v>
      </c>
      <c r="G651" t="s">
        <v>258</v>
      </c>
      <c r="H651" t="s">
        <v>259</v>
      </c>
      <c r="J651" t="s">
        <v>156</v>
      </c>
      <c r="K651" t="s">
        <v>45</v>
      </c>
      <c r="L651">
        <v>27454</v>
      </c>
      <c r="M651">
        <v>85</v>
      </c>
      <c r="N651">
        <v>14</v>
      </c>
      <c r="O651">
        <v>1751.046</v>
      </c>
      <c r="P651">
        <v>112.8</v>
      </c>
      <c r="Q651">
        <v>20</v>
      </c>
      <c r="R651">
        <v>6</v>
      </c>
      <c r="S651" t="s">
        <v>116</v>
      </c>
      <c r="T651">
        <v>4</v>
      </c>
      <c r="U651">
        <v>6</v>
      </c>
      <c r="V651">
        <v>0</v>
      </c>
      <c r="W651">
        <v>0</v>
      </c>
      <c r="X651">
        <v>0</v>
      </c>
      <c r="Y651" s="20">
        <f>SUM(Table1[[#This Row],[dty_type_cnt1]:[dty_type_cnt5]])</f>
        <v>10</v>
      </c>
    </row>
    <row r="652" spans="1:25" x14ac:dyDescent="0.25">
      <c r="A652" s="15">
        <v>46101</v>
      </c>
      <c r="B652" t="s">
        <v>430</v>
      </c>
      <c r="C652" t="s">
        <v>256</v>
      </c>
      <c r="D652" t="s">
        <v>46</v>
      </c>
      <c r="E652">
        <v>84</v>
      </c>
      <c r="F652" t="s">
        <v>164</v>
      </c>
      <c r="G652" t="s">
        <v>258</v>
      </c>
      <c r="H652" t="s">
        <v>259</v>
      </c>
      <c r="J652" t="s">
        <v>156</v>
      </c>
      <c r="K652" t="s">
        <v>45</v>
      </c>
      <c r="L652">
        <v>27454</v>
      </c>
      <c r="M652">
        <v>63</v>
      </c>
      <c r="N652">
        <v>20</v>
      </c>
      <c r="O652">
        <v>1408.7429999999999</v>
      </c>
      <c r="P652">
        <v>211</v>
      </c>
      <c r="Q652">
        <v>20</v>
      </c>
      <c r="R652">
        <v>10</v>
      </c>
      <c r="S652" t="s">
        <v>116</v>
      </c>
      <c r="T652">
        <v>7</v>
      </c>
      <c r="U652">
        <v>4</v>
      </c>
      <c r="V652">
        <v>6</v>
      </c>
      <c r="W652">
        <v>0</v>
      </c>
      <c r="X652">
        <v>0</v>
      </c>
      <c r="Y652" s="20">
        <f>SUM(Table1[[#This Row],[dty_type_cnt1]:[dty_type_cnt5]])</f>
        <v>17</v>
      </c>
    </row>
    <row r="653" spans="1:25" x14ac:dyDescent="0.25">
      <c r="A653" s="15">
        <v>46101</v>
      </c>
      <c r="B653" t="s">
        <v>430</v>
      </c>
      <c r="C653" t="s">
        <v>256</v>
      </c>
      <c r="D653" t="s">
        <v>46</v>
      </c>
      <c r="E653" t="s">
        <v>418</v>
      </c>
      <c r="F653" t="s">
        <v>419</v>
      </c>
      <c r="G653" t="s">
        <v>258</v>
      </c>
      <c r="H653" t="s">
        <v>259</v>
      </c>
      <c r="J653" t="s">
        <v>156</v>
      </c>
      <c r="K653" t="s">
        <v>45</v>
      </c>
      <c r="L653">
        <v>27454</v>
      </c>
      <c r="M653">
        <v>20</v>
      </c>
      <c r="N653">
        <v>24</v>
      </c>
      <c r="O653">
        <v>211.46</v>
      </c>
      <c r="P653">
        <v>298.39999999999998</v>
      </c>
      <c r="Q653">
        <v>30</v>
      </c>
      <c r="R653">
        <v>4</v>
      </c>
      <c r="S653" t="s">
        <v>116</v>
      </c>
      <c r="T653">
        <v>4</v>
      </c>
      <c r="U653">
        <v>2</v>
      </c>
      <c r="V653">
        <v>0</v>
      </c>
      <c r="W653">
        <v>0</v>
      </c>
      <c r="X653">
        <v>0</v>
      </c>
      <c r="Y653" s="20">
        <f>SUM(Table1[[#This Row],[dty_type_cnt1]:[dty_type_cnt5]])</f>
        <v>6</v>
      </c>
    </row>
    <row r="654" spans="1:25" x14ac:dyDescent="0.25">
      <c r="A654" s="15">
        <v>46101</v>
      </c>
      <c r="B654" t="s">
        <v>430</v>
      </c>
      <c r="C654" t="s">
        <v>256</v>
      </c>
      <c r="D654" t="s">
        <v>46</v>
      </c>
      <c r="E654" t="s">
        <v>420</v>
      </c>
      <c r="F654" t="s">
        <v>421</v>
      </c>
      <c r="G654" t="s">
        <v>258</v>
      </c>
      <c r="H654" t="s">
        <v>259</v>
      </c>
      <c r="J654" t="s">
        <v>156</v>
      </c>
      <c r="K654" t="s">
        <v>45</v>
      </c>
      <c r="L654">
        <v>27454</v>
      </c>
      <c r="M654">
        <v>8</v>
      </c>
      <c r="N654">
        <v>8</v>
      </c>
      <c r="O654">
        <v>78.263999999999996</v>
      </c>
      <c r="P654">
        <v>103.6</v>
      </c>
      <c r="Q654">
        <v>0</v>
      </c>
      <c r="R654">
        <v>0</v>
      </c>
      <c r="S654" t="s">
        <v>116</v>
      </c>
      <c r="T654">
        <v>0</v>
      </c>
      <c r="U654">
        <v>1</v>
      </c>
      <c r="V654">
        <v>1</v>
      </c>
      <c r="W654">
        <v>0</v>
      </c>
      <c r="X654">
        <v>0</v>
      </c>
      <c r="Y654" s="20">
        <f>SUM(Table1[[#This Row],[dty_type_cnt1]:[dty_type_cnt5]])</f>
        <v>2</v>
      </c>
    </row>
    <row r="655" spans="1:25" x14ac:dyDescent="0.25">
      <c r="A655" s="15">
        <v>46101</v>
      </c>
      <c r="B655" t="s">
        <v>430</v>
      </c>
      <c r="C655" t="s">
        <v>256</v>
      </c>
      <c r="D655" t="s">
        <v>46</v>
      </c>
      <c r="E655">
        <v>91</v>
      </c>
      <c r="F655" t="s">
        <v>260</v>
      </c>
      <c r="G655" t="s">
        <v>258</v>
      </c>
      <c r="H655" t="s">
        <v>259</v>
      </c>
      <c r="J655" t="s">
        <v>156</v>
      </c>
      <c r="K655" t="s">
        <v>45</v>
      </c>
      <c r="L655">
        <v>27454</v>
      </c>
      <c r="M655">
        <v>41</v>
      </c>
      <c r="N655">
        <v>12</v>
      </c>
      <c r="O655">
        <v>1256.7729999999999</v>
      </c>
      <c r="P655">
        <v>190.29</v>
      </c>
      <c r="Q655">
        <v>20</v>
      </c>
      <c r="R655">
        <v>5</v>
      </c>
      <c r="S655" t="s">
        <v>116</v>
      </c>
      <c r="T655">
        <v>4</v>
      </c>
      <c r="U655">
        <v>4</v>
      </c>
      <c r="V655">
        <v>1</v>
      </c>
      <c r="W655">
        <v>0</v>
      </c>
      <c r="X655">
        <v>0</v>
      </c>
      <c r="Y655" s="20">
        <f>SUM(Table1[[#This Row],[dty_type_cnt1]:[dty_type_cnt5]])</f>
        <v>9</v>
      </c>
    </row>
    <row r="656" spans="1:25" x14ac:dyDescent="0.25">
      <c r="A656" s="15">
        <v>46101</v>
      </c>
      <c r="B656" t="s">
        <v>430</v>
      </c>
      <c r="C656" t="s">
        <v>256</v>
      </c>
      <c r="D656" t="s">
        <v>46</v>
      </c>
      <c r="E656">
        <v>93</v>
      </c>
      <c r="F656" t="s">
        <v>276</v>
      </c>
      <c r="G656" t="s">
        <v>258</v>
      </c>
      <c r="H656" t="s">
        <v>259</v>
      </c>
      <c r="J656" t="s">
        <v>0</v>
      </c>
      <c r="K656" t="s">
        <v>45</v>
      </c>
      <c r="L656">
        <v>27454</v>
      </c>
      <c r="M656">
        <v>62</v>
      </c>
      <c r="N656">
        <v>14</v>
      </c>
      <c r="O656">
        <v>1475.6</v>
      </c>
      <c r="P656">
        <v>97</v>
      </c>
      <c r="Q656">
        <v>30</v>
      </c>
      <c r="R656">
        <v>6</v>
      </c>
      <c r="S656" t="s">
        <v>116</v>
      </c>
      <c r="T656">
        <v>6</v>
      </c>
      <c r="U656">
        <v>7</v>
      </c>
      <c r="V656">
        <v>2</v>
      </c>
      <c r="W656">
        <v>0</v>
      </c>
      <c r="X656">
        <v>0</v>
      </c>
      <c r="Y656" s="20">
        <f>SUM(Table1[[#This Row],[dty_type_cnt1]:[dty_type_cnt5]])</f>
        <v>15</v>
      </c>
    </row>
    <row r="657" spans="1:25" x14ac:dyDescent="0.25">
      <c r="A657" s="15">
        <v>46101</v>
      </c>
      <c r="B657" t="s">
        <v>430</v>
      </c>
      <c r="C657" t="s">
        <v>256</v>
      </c>
      <c r="D657" t="s">
        <v>46</v>
      </c>
      <c r="E657" t="s">
        <v>422</v>
      </c>
      <c r="F657" t="s">
        <v>423</v>
      </c>
      <c r="G657" t="s">
        <v>258</v>
      </c>
      <c r="H657" t="s">
        <v>259</v>
      </c>
      <c r="J657" t="s">
        <v>156</v>
      </c>
      <c r="K657" t="s">
        <v>45</v>
      </c>
      <c r="L657">
        <v>27454</v>
      </c>
      <c r="M657">
        <v>12</v>
      </c>
      <c r="N657">
        <v>17</v>
      </c>
      <c r="O657">
        <v>143.63999999999999</v>
      </c>
      <c r="P657">
        <v>222.2</v>
      </c>
      <c r="Q657">
        <v>23</v>
      </c>
      <c r="R657">
        <v>5</v>
      </c>
      <c r="S657" t="s">
        <v>116</v>
      </c>
      <c r="T657">
        <v>5</v>
      </c>
      <c r="U657">
        <v>0</v>
      </c>
      <c r="V657">
        <v>0</v>
      </c>
      <c r="W657">
        <v>0</v>
      </c>
      <c r="X657">
        <v>0</v>
      </c>
      <c r="Y657" s="20">
        <f>SUM(Table1[[#This Row],[dty_type_cnt1]:[dty_type_cnt5]])</f>
        <v>5</v>
      </c>
    </row>
    <row r="658" spans="1:25" x14ac:dyDescent="0.25">
      <c r="A658" s="15">
        <v>46101</v>
      </c>
      <c r="B658" t="s">
        <v>430</v>
      </c>
      <c r="C658" t="s">
        <v>256</v>
      </c>
      <c r="D658" t="s">
        <v>46</v>
      </c>
      <c r="E658" t="s">
        <v>424</v>
      </c>
      <c r="F658" t="s">
        <v>425</v>
      </c>
      <c r="G658" t="s">
        <v>258</v>
      </c>
      <c r="H658" t="s">
        <v>259</v>
      </c>
      <c r="J658" t="s">
        <v>156</v>
      </c>
      <c r="K658" t="s">
        <v>45</v>
      </c>
      <c r="L658">
        <v>27454</v>
      </c>
      <c r="M658">
        <v>9</v>
      </c>
      <c r="N658">
        <v>13</v>
      </c>
      <c r="O658">
        <v>107.928</v>
      </c>
      <c r="P658">
        <v>151.9</v>
      </c>
      <c r="Q658">
        <v>0</v>
      </c>
      <c r="R658">
        <v>0</v>
      </c>
      <c r="S658" t="s">
        <v>116</v>
      </c>
      <c r="T658">
        <v>0</v>
      </c>
      <c r="U658">
        <v>1</v>
      </c>
      <c r="V658">
        <v>3</v>
      </c>
      <c r="W658">
        <v>0</v>
      </c>
      <c r="X658">
        <v>0</v>
      </c>
      <c r="Y658" s="20">
        <f>SUM(Table1[[#This Row],[dty_type_cnt1]:[dty_type_cnt5]])</f>
        <v>4</v>
      </c>
    </row>
    <row r="659" spans="1:25" x14ac:dyDescent="0.25">
      <c r="A659" s="15">
        <v>46102</v>
      </c>
      <c r="B659" t="s">
        <v>430</v>
      </c>
      <c r="C659" t="s">
        <v>256</v>
      </c>
      <c r="D659" t="s">
        <v>46</v>
      </c>
      <c r="E659">
        <v>96</v>
      </c>
      <c r="F659" t="s">
        <v>167</v>
      </c>
      <c r="G659" t="s">
        <v>258</v>
      </c>
      <c r="H659" t="s">
        <v>259</v>
      </c>
      <c r="J659" t="s">
        <v>156</v>
      </c>
      <c r="K659" t="s">
        <v>45</v>
      </c>
      <c r="L659">
        <v>27454</v>
      </c>
      <c r="M659">
        <v>39</v>
      </c>
      <c r="N659">
        <v>8</v>
      </c>
      <c r="O659">
        <v>1956.17</v>
      </c>
      <c r="P659">
        <v>57.5</v>
      </c>
      <c r="Q659">
        <v>25</v>
      </c>
      <c r="R659">
        <v>4</v>
      </c>
      <c r="S659" t="s">
        <v>116</v>
      </c>
      <c r="T659">
        <v>4</v>
      </c>
      <c r="U659">
        <v>1</v>
      </c>
      <c r="V659">
        <v>3</v>
      </c>
      <c r="W659">
        <v>0</v>
      </c>
      <c r="X659">
        <v>0</v>
      </c>
      <c r="Y659" s="20">
        <f>SUM(Table1[[#This Row],[dty_type_cnt1]:[dty_type_cnt5]])</f>
        <v>8</v>
      </c>
    </row>
    <row r="660" spans="1:25" x14ac:dyDescent="0.25">
      <c r="A660" s="15">
        <v>46102</v>
      </c>
      <c r="B660" t="s">
        <v>430</v>
      </c>
      <c r="C660" t="s">
        <v>256</v>
      </c>
      <c r="D660" t="s">
        <v>46</v>
      </c>
      <c r="E660" t="s">
        <v>277</v>
      </c>
      <c r="F660" t="s">
        <v>278</v>
      </c>
      <c r="G660" t="s">
        <v>258</v>
      </c>
      <c r="H660" t="s">
        <v>259</v>
      </c>
      <c r="J660" t="s">
        <v>156</v>
      </c>
      <c r="K660" t="s">
        <v>45</v>
      </c>
      <c r="L660">
        <v>27454</v>
      </c>
      <c r="M660">
        <v>27</v>
      </c>
      <c r="N660">
        <v>8</v>
      </c>
      <c r="O660">
        <v>857.19</v>
      </c>
      <c r="P660">
        <v>48.5</v>
      </c>
      <c r="Q660">
        <v>30</v>
      </c>
      <c r="R660">
        <v>4</v>
      </c>
      <c r="S660" t="s">
        <v>116</v>
      </c>
      <c r="T660">
        <v>1</v>
      </c>
      <c r="U660">
        <v>2</v>
      </c>
      <c r="V660">
        <v>0</v>
      </c>
      <c r="W660">
        <v>0</v>
      </c>
      <c r="X660">
        <v>0</v>
      </c>
      <c r="Y660" s="20">
        <f>SUM(Table1[[#This Row],[dty_type_cnt1]:[dty_type_cnt5]])</f>
        <v>3</v>
      </c>
    </row>
    <row r="661" spans="1:25" x14ac:dyDescent="0.25">
      <c r="A661" s="15">
        <v>46102</v>
      </c>
      <c r="B661" t="s">
        <v>430</v>
      </c>
      <c r="C661" t="s">
        <v>256</v>
      </c>
      <c r="D661" t="s">
        <v>46</v>
      </c>
      <c r="E661" t="s">
        <v>56</v>
      </c>
      <c r="F661" t="s">
        <v>57</v>
      </c>
      <c r="G661" t="s">
        <v>258</v>
      </c>
      <c r="H661" t="s">
        <v>259</v>
      </c>
      <c r="J661" t="s">
        <v>0</v>
      </c>
      <c r="K661" t="s">
        <v>45</v>
      </c>
      <c r="L661">
        <v>27454</v>
      </c>
      <c r="M661">
        <v>36</v>
      </c>
      <c r="N661">
        <v>6</v>
      </c>
      <c r="O661">
        <v>624.45399999999995</v>
      </c>
      <c r="P661">
        <v>19.5</v>
      </c>
      <c r="Q661">
        <v>30</v>
      </c>
      <c r="R661">
        <v>3</v>
      </c>
      <c r="S661" t="s">
        <v>116</v>
      </c>
      <c r="T661">
        <v>4</v>
      </c>
      <c r="U661">
        <v>2</v>
      </c>
      <c r="V661">
        <v>1</v>
      </c>
      <c r="W661">
        <v>0</v>
      </c>
      <c r="X661">
        <v>0</v>
      </c>
      <c r="Y661" s="20">
        <f>SUM(Table1[[#This Row],[dty_type_cnt1]:[dty_type_cnt5]])</f>
        <v>7</v>
      </c>
    </row>
    <row r="662" spans="1:25" x14ac:dyDescent="0.25">
      <c r="A662" s="15">
        <v>46102</v>
      </c>
      <c r="B662" t="s">
        <v>430</v>
      </c>
      <c r="C662" t="s">
        <v>256</v>
      </c>
      <c r="D662" t="s">
        <v>46</v>
      </c>
      <c r="E662" t="s">
        <v>77</v>
      </c>
      <c r="F662" t="s">
        <v>78</v>
      </c>
      <c r="G662" t="s">
        <v>258</v>
      </c>
      <c r="H662" t="s">
        <v>259</v>
      </c>
      <c r="J662" t="s">
        <v>0</v>
      </c>
      <c r="K662" t="s">
        <v>45</v>
      </c>
      <c r="L662">
        <v>27454</v>
      </c>
      <c r="M662">
        <v>13</v>
      </c>
      <c r="N662">
        <v>2</v>
      </c>
      <c r="O662">
        <v>203.435</v>
      </c>
      <c r="P662">
        <v>4</v>
      </c>
      <c r="Q662">
        <v>30</v>
      </c>
      <c r="R662">
        <v>1</v>
      </c>
      <c r="S662" t="s">
        <v>116</v>
      </c>
      <c r="T662">
        <v>1</v>
      </c>
      <c r="U662">
        <v>1</v>
      </c>
      <c r="V662">
        <v>0</v>
      </c>
      <c r="W662">
        <v>0</v>
      </c>
      <c r="X662">
        <v>0</v>
      </c>
      <c r="Y662" s="20">
        <f>SUM(Table1[[#This Row],[dty_type_cnt1]:[dty_type_cnt5]])</f>
        <v>2</v>
      </c>
    </row>
    <row r="663" spans="1:25" x14ac:dyDescent="0.25">
      <c r="A663" s="15">
        <v>46102</v>
      </c>
      <c r="B663" t="s">
        <v>430</v>
      </c>
      <c r="C663" t="s">
        <v>256</v>
      </c>
      <c r="D663" t="s">
        <v>46</v>
      </c>
      <c r="E663" t="s">
        <v>50</v>
      </c>
      <c r="F663" t="s">
        <v>51</v>
      </c>
      <c r="G663" t="s">
        <v>258</v>
      </c>
      <c r="H663" t="s">
        <v>259</v>
      </c>
      <c r="J663" t="s">
        <v>0</v>
      </c>
      <c r="K663" t="s">
        <v>45</v>
      </c>
      <c r="L663">
        <v>27454</v>
      </c>
      <c r="M663">
        <v>24</v>
      </c>
      <c r="N663">
        <v>4</v>
      </c>
      <c r="O663">
        <v>541.23599999999999</v>
      </c>
      <c r="P663">
        <v>0.4</v>
      </c>
      <c r="Q663">
        <v>30</v>
      </c>
      <c r="R663">
        <v>2</v>
      </c>
      <c r="S663" t="s">
        <v>116</v>
      </c>
      <c r="T663">
        <v>2</v>
      </c>
      <c r="U663">
        <v>2</v>
      </c>
      <c r="V663">
        <v>0</v>
      </c>
      <c r="W663">
        <v>0</v>
      </c>
      <c r="X663">
        <v>0</v>
      </c>
      <c r="Y663" s="20">
        <f>SUM(Table1[[#This Row],[dty_type_cnt1]:[dty_type_cnt5]])</f>
        <v>4</v>
      </c>
    </row>
    <row r="664" spans="1:25" x14ac:dyDescent="0.25">
      <c r="A664" s="15">
        <v>46102</v>
      </c>
      <c r="B664" t="s">
        <v>430</v>
      </c>
      <c r="C664" t="s">
        <v>256</v>
      </c>
      <c r="D664" t="s">
        <v>46</v>
      </c>
      <c r="E664" t="s">
        <v>52</v>
      </c>
      <c r="F664" t="s">
        <v>53</v>
      </c>
      <c r="G664" t="s">
        <v>258</v>
      </c>
      <c r="H664" t="s">
        <v>259</v>
      </c>
      <c r="J664" t="s">
        <v>0</v>
      </c>
      <c r="K664" t="s">
        <v>45</v>
      </c>
      <c r="L664">
        <v>27454</v>
      </c>
      <c r="M664">
        <v>36</v>
      </c>
      <c r="N664">
        <v>6</v>
      </c>
      <c r="O664">
        <v>854.63099999999997</v>
      </c>
      <c r="P664">
        <v>31.2</v>
      </c>
      <c r="Q664">
        <v>20</v>
      </c>
      <c r="R664">
        <v>3</v>
      </c>
      <c r="S664" t="s">
        <v>116</v>
      </c>
      <c r="T664">
        <v>3</v>
      </c>
      <c r="U664">
        <v>3</v>
      </c>
      <c r="V664">
        <v>0</v>
      </c>
      <c r="W664">
        <v>0</v>
      </c>
      <c r="X664">
        <v>0</v>
      </c>
      <c r="Y664" s="20">
        <f>SUM(Table1[[#This Row],[dty_type_cnt1]:[dty_type_cnt5]])</f>
        <v>6</v>
      </c>
    </row>
    <row r="665" spans="1:25" x14ac:dyDescent="0.25">
      <c r="A665" s="15">
        <v>46102</v>
      </c>
      <c r="B665" t="s">
        <v>430</v>
      </c>
      <c r="C665" t="s">
        <v>256</v>
      </c>
      <c r="D665" t="s">
        <v>46</v>
      </c>
      <c r="E665" t="s">
        <v>124</v>
      </c>
      <c r="F665" t="s">
        <v>125</v>
      </c>
      <c r="G665" t="s">
        <v>258</v>
      </c>
      <c r="H665" t="s">
        <v>259</v>
      </c>
      <c r="J665" t="s">
        <v>0</v>
      </c>
      <c r="K665" t="s">
        <v>45</v>
      </c>
      <c r="L665">
        <v>27454</v>
      </c>
      <c r="M665">
        <v>10</v>
      </c>
      <c r="N665">
        <v>2</v>
      </c>
      <c r="O665">
        <v>204.964</v>
      </c>
      <c r="P665">
        <v>0.2</v>
      </c>
      <c r="Q665">
        <v>35</v>
      </c>
      <c r="R665">
        <v>1</v>
      </c>
      <c r="S665" t="s">
        <v>116</v>
      </c>
      <c r="T665">
        <v>1</v>
      </c>
      <c r="U665">
        <v>1</v>
      </c>
      <c r="V665">
        <v>0</v>
      </c>
      <c r="W665">
        <v>0</v>
      </c>
      <c r="X665">
        <v>0</v>
      </c>
      <c r="Y665" s="20">
        <f>SUM(Table1[[#This Row],[dty_type_cnt1]:[dty_type_cnt5]])</f>
        <v>2</v>
      </c>
    </row>
    <row r="666" spans="1:25" x14ac:dyDescent="0.25">
      <c r="A666" s="15">
        <v>46102</v>
      </c>
      <c r="B666" t="s">
        <v>430</v>
      </c>
      <c r="C666" t="s">
        <v>256</v>
      </c>
      <c r="D666" t="s">
        <v>46</v>
      </c>
      <c r="E666" t="s">
        <v>240</v>
      </c>
      <c r="F666" t="s">
        <v>241</v>
      </c>
      <c r="G666" t="s">
        <v>258</v>
      </c>
      <c r="H666" t="s">
        <v>259</v>
      </c>
      <c r="J666" t="s">
        <v>0</v>
      </c>
      <c r="K666" t="s">
        <v>45</v>
      </c>
      <c r="L666">
        <v>27454</v>
      </c>
      <c r="M666">
        <v>20</v>
      </c>
      <c r="N666">
        <v>4</v>
      </c>
      <c r="O666">
        <v>476.96</v>
      </c>
      <c r="P666">
        <v>8.6</v>
      </c>
      <c r="Q666">
        <v>35</v>
      </c>
      <c r="R666">
        <v>2</v>
      </c>
      <c r="S666" t="s">
        <v>116</v>
      </c>
      <c r="T666">
        <v>2</v>
      </c>
      <c r="U666">
        <v>2</v>
      </c>
      <c r="V666">
        <v>0</v>
      </c>
      <c r="W666">
        <v>0</v>
      </c>
      <c r="X666">
        <v>0</v>
      </c>
      <c r="Y666" s="20">
        <f>SUM(Table1[[#This Row],[dty_type_cnt1]:[dty_type_cnt5]])</f>
        <v>4</v>
      </c>
    </row>
    <row r="667" spans="1:25" x14ac:dyDescent="0.25">
      <c r="A667" s="15">
        <v>46102</v>
      </c>
      <c r="B667" t="s">
        <v>430</v>
      </c>
      <c r="C667" t="s">
        <v>256</v>
      </c>
      <c r="D667" t="s">
        <v>55</v>
      </c>
      <c r="E667" t="s">
        <v>279</v>
      </c>
      <c r="F667" t="s">
        <v>280</v>
      </c>
      <c r="G667" t="s">
        <v>258</v>
      </c>
      <c r="H667" t="s">
        <v>259</v>
      </c>
      <c r="J667" t="s">
        <v>156</v>
      </c>
      <c r="K667" t="s">
        <v>45</v>
      </c>
      <c r="L667">
        <v>27454</v>
      </c>
      <c r="M667">
        <v>18</v>
      </c>
      <c r="N667">
        <v>2</v>
      </c>
      <c r="O667">
        <v>374.77800000000002</v>
      </c>
      <c r="P667">
        <v>13.1</v>
      </c>
      <c r="Q667">
        <v>60</v>
      </c>
      <c r="R667">
        <v>1</v>
      </c>
      <c r="S667" t="s">
        <v>116</v>
      </c>
      <c r="T667">
        <v>1</v>
      </c>
      <c r="U667">
        <v>1</v>
      </c>
      <c r="V667">
        <v>0</v>
      </c>
      <c r="W667">
        <v>0</v>
      </c>
      <c r="X667">
        <v>0</v>
      </c>
      <c r="Y667" s="20">
        <f>SUM(Table1[[#This Row],[dty_type_cnt1]:[dty_type_cnt5]])</f>
        <v>2</v>
      </c>
    </row>
    <row r="668" spans="1:25" x14ac:dyDescent="0.25">
      <c r="A668" s="15">
        <v>46102</v>
      </c>
      <c r="B668" t="s">
        <v>430</v>
      </c>
      <c r="C668" t="s">
        <v>256</v>
      </c>
      <c r="D668" t="s">
        <v>54</v>
      </c>
      <c r="E668" t="s">
        <v>281</v>
      </c>
      <c r="F668" t="s">
        <v>282</v>
      </c>
      <c r="G668" t="s">
        <v>258</v>
      </c>
      <c r="H668" t="s">
        <v>259</v>
      </c>
      <c r="J668" t="s">
        <v>156</v>
      </c>
      <c r="K668" t="s">
        <v>45</v>
      </c>
      <c r="L668">
        <v>27454</v>
      </c>
      <c r="M668">
        <v>36</v>
      </c>
      <c r="N668">
        <v>9</v>
      </c>
      <c r="O668">
        <v>463.22800000000001</v>
      </c>
      <c r="P668">
        <v>115.9</v>
      </c>
      <c r="Q668">
        <v>30</v>
      </c>
      <c r="R668">
        <v>3</v>
      </c>
      <c r="S668" t="s">
        <v>116</v>
      </c>
      <c r="T668">
        <v>3</v>
      </c>
      <c r="U668">
        <v>2</v>
      </c>
      <c r="V668">
        <v>2</v>
      </c>
      <c r="W668">
        <v>0</v>
      </c>
      <c r="X668">
        <v>0</v>
      </c>
      <c r="Y668" s="20">
        <f>SUM(Table1[[#This Row],[dty_type_cnt1]:[dty_type_cnt5]])</f>
        <v>7</v>
      </c>
    </row>
    <row r="669" spans="1:25" x14ac:dyDescent="0.25">
      <c r="A669" s="15">
        <v>46102</v>
      </c>
      <c r="B669" t="s">
        <v>430</v>
      </c>
      <c r="C669" t="s">
        <v>256</v>
      </c>
      <c r="D669" t="s">
        <v>54</v>
      </c>
      <c r="E669" t="s">
        <v>283</v>
      </c>
      <c r="F669" t="s">
        <v>284</v>
      </c>
      <c r="G669" t="s">
        <v>258</v>
      </c>
      <c r="H669" t="s">
        <v>259</v>
      </c>
      <c r="J669" t="s">
        <v>156</v>
      </c>
      <c r="K669" t="s">
        <v>45</v>
      </c>
      <c r="L669">
        <v>27454</v>
      </c>
      <c r="M669">
        <v>59</v>
      </c>
      <c r="N669">
        <v>8</v>
      </c>
      <c r="O669">
        <v>530.69799999999998</v>
      </c>
      <c r="P669">
        <v>94.7</v>
      </c>
      <c r="Q669">
        <v>15</v>
      </c>
      <c r="R669">
        <v>4</v>
      </c>
      <c r="S669" t="s">
        <v>116</v>
      </c>
      <c r="T669">
        <v>3</v>
      </c>
      <c r="U669">
        <v>3</v>
      </c>
      <c r="V669">
        <v>1</v>
      </c>
      <c r="W669">
        <v>0</v>
      </c>
      <c r="X669">
        <v>0</v>
      </c>
      <c r="Y669" s="20">
        <f>SUM(Table1[[#This Row],[dty_type_cnt1]:[dty_type_cnt5]])</f>
        <v>7</v>
      </c>
    </row>
    <row r="670" spans="1:25" x14ac:dyDescent="0.25">
      <c r="A670" s="15">
        <v>46102</v>
      </c>
      <c r="B670" t="s">
        <v>430</v>
      </c>
      <c r="C670" t="s">
        <v>256</v>
      </c>
      <c r="D670" t="s">
        <v>54</v>
      </c>
      <c r="E670" t="s">
        <v>285</v>
      </c>
      <c r="F670" t="s">
        <v>286</v>
      </c>
      <c r="G670" t="s">
        <v>258</v>
      </c>
      <c r="H670" t="s">
        <v>259</v>
      </c>
      <c r="J670" t="s">
        <v>156</v>
      </c>
      <c r="K670" t="s">
        <v>45</v>
      </c>
      <c r="L670">
        <v>27454</v>
      </c>
      <c r="M670">
        <v>21</v>
      </c>
      <c r="N670">
        <v>4</v>
      </c>
      <c r="O670">
        <v>312.709</v>
      </c>
      <c r="P670">
        <v>44.2</v>
      </c>
      <c r="Q670">
        <v>30</v>
      </c>
      <c r="R670">
        <v>2</v>
      </c>
      <c r="S670" t="s">
        <v>116</v>
      </c>
      <c r="T670">
        <v>1</v>
      </c>
      <c r="U670">
        <v>0</v>
      </c>
      <c r="V670">
        <v>2</v>
      </c>
      <c r="W670">
        <v>0</v>
      </c>
      <c r="X670">
        <v>0</v>
      </c>
      <c r="Y670" s="20">
        <f>SUM(Table1[[#This Row],[dty_type_cnt1]:[dty_type_cnt5]])</f>
        <v>3</v>
      </c>
    </row>
    <row r="671" spans="1:25" x14ac:dyDescent="0.25">
      <c r="A671" s="15">
        <v>46102</v>
      </c>
      <c r="B671" t="s">
        <v>430</v>
      </c>
      <c r="C671" t="s">
        <v>256</v>
      </c>
      <c r="D671" t="s">
        <v>54</v>
      </c>
      <c r="E671" t="s">
        <v>287</v>
      </c>
      <c r="F671" t="s">
        <v>288</v>
      </c>
      <c r="G671" t="s">
        <v>258</v>
      </c>
      <c r="H671" t="s">
        <v>259</v>
      </c>
      <c r="J671" t="s">
        <v>156</v>
      </c>
      <c r="K671" t="s">
        <v>45</v>
      </c>
      <c r="L671">
        <v>27454</v>
      </c>
      <c r="M671">
        <v>170</v>
      </c>
      <c r="N671">
        <v>24</v>
      </c>
      <c r="O671">
        <v>2378.2640000000001</v>
      </c>
      <c r="P671">
        <v>127.8</v>
      </c>
      <c r="Q671">
        <v>5</v>
      </c>
      <c r="R671">
        <v>12</v>
      </c>
      <c r="S671" t="s">
        <v>116</v>
      </c>
      <c r="T671">
        <v>10</v>
      </c>
      <c r="U671">
        <v>11</v>
      </c>
      <c r="V671">
        <v>2</v>
      </c>
      <c r="W671">
        <v>0</v>
      </c>
      <c r="X671">
        <v>0</v>
      </c>
      <c r="Y671" s="20">
        <f>SUM(Table1[[#This Row],[dty_type_cnt1]:[dty_type_cnt5]])</f>
        <v>23</v>
      </c>
    </row>
    <row r="672" spans="1:25" x14ac:dyDescent="0.25">
      <c r="A672" s="15">
        <v>46102</v>
      </c>
      <c r="B672" t="s">
        <v>430</v>
      </c>
      <c r="C672" t="s">
        <v>256</v>
      </c>
      <c r="D672" t="s">
        <v>54</v>
      </c>
      <c r="E672" t="s">
        <v>289</v>
      </c>
      <c r="F672" t="s">
        <v>290</v>
      </c>
      <c r="G672" t="s">
        <v>258</v>
      </c>
      <c r="H672" t="s">
        <v>259</v>
      </c>
      <c r="J672" t="s">
        <v>156</v>
      </c>
      <c r="K672" t="s">
        <v>45</v>
      </c>
      <c r="L672">
        <v>27454</v>
      </c>
      <c r="M672">
        <v>50</v>
      </c>
      <c r="N672">
        <v>8</v>
      </c>
      <c r="O672">
        <v>437.3</v>
      </c>
      <c r="P672">
        <v>37.799999999999997</v>
      </c>
      <c r="Q672">
        <v>20</v>
      </c>
      <c r="R672">
        <v>3</v>
      </c>
      <c r="S672" t="s">
        <v>116</v>
      </c>
      <c r="T672">
        <v>2</v>
      </c>
      <c r="U672">
        <v>3</v>
      </c>
      <c r="V672">
        <v>0</v>
      </c>
      <c r="W672">
        <v>0</v>
      </c>
      <c r="X672">
        <v>0</v>
      </c>
      <c r="Y672" s="20">
        <f>SUM(Table1[[#This Row],[dty_type_cnt1]:[dty_type_cnt5]])</f>
        <v>5</v>
      </c>
    </row>
    <row r="673" spans="1:25" x14ac:dyDescent="0.25">
      <c r="A673" s="15">
        <v>46102</v>
      </c>
      <c r="B673" t="s">
        <v>430</v>
      </c>
      <c r="C673" t="s">
        <v>256</v>
      </c>
      <c r="D673" t="s">
        <v>54</v>
      </c>
      <c r="E673" t="s">
        <v>392</v>
      </c>
      <c r="F673" t="s">
        <v>393</v>
      </c>
      <c r="G673" t="s">
        <v>258</v>
      </c>
      <c r="H673" t="s">
        <v>259</v>
      </c>
      <c r="J673" t="s">
        <v>0</v>
      </c>
      <c r="K673" t="s">
        <v>45</v>
      </c>
      <c r="L673">
        <v>27454</v>
      </c>
      <c r="M673">
        <v>37</v>
      </c>
      <c r="N673">
        <v>2</v>
      </c>
      <c r="O673">
        <v>137.12200000000001</v>
      </c>
      <c r="P673">
        <v>4.7</v>
      </c>
      <c r="Q673">
        <v>30</v>
      </c>
      <c r="R673">
        <v>1</v>
      </c>
      <c r="S673" t="s">
        <v>116</v>
      </c>
      <c r="T673">
        <v>1</v>
      </c>
      <c r="U673">
        <v>1</v>
      </c>
      <c r="V673">
        <v>0</v>
      </c>
      <c r="W673">
        <v>0</v>
      </c>
      <c r="X673">
        <v>0</v>
      </c>
      <c r="Y673" s="20">
        <f>SUM(Table1[[#This Row],[dty_type_cnt1]:[dty_type_cnt5]])</f>
        <v>2</v>
      </c>
    </row>
    <row r="674" spans="1:25" x14ac:dyDescent="0.25">
      <c r="A674" s="15">
        <v>46102</v>
      </c>
      <c r="B674" t="s">
        <v>430</v>
      </c>
      <c r="C674" t="s">
        <v>256</v>
      </c>
      <c r="D674" t="s">
        <v>54</v>
      </c>
      <c r="E674" t="s">
        <v>291</v>
      </c>
      <c r="F674" t="s">
        <v>292</v>
      </c>
      <c r="G674" t="s">
        <v>258</v>
      </c>
      <c r="H674" t="s">
        <v>259</v>
      </c>
      <c r="J674" t="s">
        <v>156</v>
      </c>
      <c r="K674" t="s">
        <v>45</v>
      </c>
      <c r="L674">
        <v>27454</v>
      </c>
      <c r="M674">
        <v>29</v>
      </c>
      <c r="N674">
        <v>4</v>
      </c>
      <c r="O674">
        <v>524.71199999999999</v>
      </c>
      <c r="P674">
        <v>47.8</v>
      </c>
      <c r="Q674">
        <v>25</v>
      </c>
      <c r="R674">
        <v>2</v>
      </c>
      <c r="S674" t="s">
        <v>116</v>
      </c>
      <c r="T674">
        <v>1</v>
      </c>
      <c r="U674">
        <v>2</v>
      </c>
      <c r="V674">
        <v>1</v>
      </c>
      <c r="W674">
        <v>0</v>
      </c>
      <c r="X674">
        <v>0</v>
      </c>
      <c r="Y674" s="20">
        <f>SUM(Table1[[#This Row],[dty_type_cnt1]:[dty_type_cnt5]])</f>
        <v>4</v>
      </c>
    </row>
    <row r="675" spans="1:25" x14ac:dyDescent="0.25">
      <c r="A675" s="15">
        <v>46102</v>
      </c>
      <c r="B675" t="s">
        <v>430</v>
      </c>
      <c r="C675" t="s">
        <v>256</v>
      </c>
      <c r="D675" t="s">
        <v>54</v>
      </c>
      <c r="E675" t="s">
        <v>293</v>
      </c>
      <c r="F675" t="s">
        <v>294</v>
      </c>
      <c r="G675" t="s">
        <v>258</v>
      </c>
      <c r="H675" t="s">
        <v>259</v>
      </c>
      <c r="J675" t="s">
        <v>156</v>
      </c>
      <c r="K675" t="s">
        <v>45</v>
      </c>
      <c r="L675">
        <v>27454</v>
      </c>
      <c r="M675">
        <v>74</v>
      </c>
      <c r="N675">
        <v>17</v>
      </c>
      <c r="O675">
        <v>1495.5139999999999</v>
      </c>
      <c r="P675">
        <v>101.6</v>
      </c>
      <c r="Q675">
        <v>30</v>
      </c>
      <c r="R675">
        <v>8</v>
      </c>
      <c r="S675" t="s">
        <v>116</v>
      </c>
      <c r="T675">
        <v>6</v>
      </c>
      <c r="U675">
        <v>6</v>
      </c>
      <c r="V675">
        <v>2</v>
      </c>
      <c r="W675">
        <v>0</v>
      </c>
      <c r="X675">
        <v>0</v>
      </c>
      <c r="Y675" s="20">
        <f>SUM(Table1[[#This Row],[dty_type_cnt1]:[dty_type_cnt5]])</f>
        <v>14</v>
      </c>
    </row>
    <row r="676" spans="1:25" x14ac:dyDescent="0.25">
      <c r="A676" s="15">
        <v>46102</v>
      </c>
      <c r="B676" t="s">
        <v>430</v>
      </c>
      <c r="C676" t="s">
        <v>256</v>
      </c>
      <c r="D676" t="s">
        <v>54</v>
      </c>
      <c r="E676" t="s">
        <v>295</v>
      </c>
      <c r="F676" t="s">
        <v>296</v>
      </c>
      <c r="G676" t="s">
        <v>258</v>
      </c>
      <c r="H676" t="s">
        <v>259</v>
      </c>
      <c r="J676" t="s">
        <v>156</v>
      </c>
      <c r="K676" t="s">
        <v>45</v>
      </c>
      <c r="L676">
        <v>27454</v>
      </c>
      <c r="M676">
        <v>66</v>
      </c>
      <c r="N676">
        <v>10</v>
      </c>
      <c r="O676">
        <v>1095.028</v>
      </c>
      <c r="P676">
        <v>44.1</v>
      </c>
      <c r="Q676">
        <v>30</v>
      </c>
      <c r="R676">
        <v>5</v>
      </c>
      <c r="S676" t="s">
        <v>116</v>
      </c>
      <c r="T676">
        <v>5</v>
      </c>
      <c r="U676">
        <v>5</v>
      </c>
      <c r="V676">
        <v>0</v>
      </c>
      <c r="W676">
        <v>0</v>
      </c>
      <c r="X676">
        <v>0</v>
      </c>
      <c r="Y676" s="20">
        <f>SUM(Table1[[#This Row],[dty_type_cnt1]:[dty_type_cnt5]])</f>
        <v>10</v>
      </c>
    </row>
    <row r="677" spans="1:25" x14ac:dyDescent="0.25">
      <c r="A677" s="15">
        <v>46102</v>
      </c>
      <c r="B677" t="s">
        <v>430</v>
      </c>
      <c r="C677" t="s">
        <v>256</v>
      </c>
      <c r="D677" t="s">
        <v>54</v>
      </c>
      <c r="E677" t="s">
        <v>400</v>
      </c>
      <c r="F677" t="s">
        <v>401</v>
      </c>
      <c r="G677" t="s">
        <v>258</v>
      </c>
      <c r="H677" t="s">
        <v>259</v>
      </c>
      <c r="J677" t="s">
        <v>0</v>
      </c>
      <c r="K677" t="s">
        <v>45</v>
      </c>
      <c r="L677">
        <v>27454</v>
      </c>
      <c r="M677">
        <v>24</v>
      </c>
      <c r="N677">
        <v>2</v>
      </c>
      <c r="O677">
        <v>214.65600000000001</v>
      </c>
      <c r="P677">
        <v>0.2</v>
      </c>
      <c r="Q677">
        <v>10</v>
      </c>
      <c r="R677">
        <v>1</v>
      </c>
      <c r="S677" t="s">
        <v>116</v>
      </c>
      <c r="T677">
        <v>1</v>
      </c>
      <c r="U677">
        <v>1</v>
      </c>
      <c r="V677">
        <v>0</v>
      </c>
      <c r="W677">
        <v>0</v>
      </c>
      <c r="X677">
        <v>0</v>
      </c>
      <c r="Y677" s="20">
        <f>SUM(Table1[[#This Row],[dty_type_cnt1]:[dty_type_cnt5]])</f>
        <v>2</v>
      </c>
    </row>
    <row r="678" spans="1:25" x14ac:dyDescent="0.25">
      <c r="A678" s="15">
        <v>46102</v>
      </c>
      <c r="B678" t="s">
        <v>430</v>
      </c>
      <c r="C678" t="s">
        <v>256</v>
      </c>
      <c r="D678" t="s">
        <v>54</v>
      </c>
      <c r="E678" t="s">
        <v>297</v>
      </c>
      <c r="F678" t="s">
        <v>298</v>
      </c>
      <c r="G678" t="s">
        <v>258</v>
      </c>
      <c r="H678" t="s">
        <v>259</v>
      </c>
      <c r="J678" t="s">
        <v>156</v>
      </c>
      <c r="K678" t="s">
        <v>45</v>
      </c>
      <c r="L678">
        <v>27454</v>
      </c>
      <c r="M678">
        <v>32</v>
      </c>
      <c r="N678">
        <v>4</v>
      </c>
      <c r="O678">
        <v>412.73599999999999</v>
      </c>
      <c r="P678">
        <v>18.22</v>
      </c>
      <c r="Q678">
        <v>30</v>
      </c>
      <c r="R678">
        <v>2</v>
      </c>
      <c r="S678" t="s">
        <v>116</v>
      </c>
      <c r="T678">
        <v>2</v>
      </c>
      <c r="U678">
        <v>2</v>
      </c>
      <c r="V678">
        <v>0</v>
      </c>
      <c r="W678">
        <v>0</v>
      </c>
      <c r="X678">
        <v>0</v>
      </c>
      <c r="Y678" s="20">
        <f>SUM(Table1[[#This Row],[dty_type_cnt1]:[dty_type_cnt5]])</f>
        <v>4</v>
      </c>
    </row>
    <row r="679" spans="1:25" x14ac:dyDescent="0.25">
      <c r="A679" s="15">
        <v>46102</v>
      </c>
      <c r="B679" t="s">
        <v>430</v>
      </c>
      <c r="C679" t="s">
        <v>256</v>
      </c>
      <c r="D679" t="s">
        <v>54</v>
      </c>
      <c r="E679" t="s">
        <v>299</v>
      </c>
      <c r="F679" t="s">
        <v>300</v>
      </c>
      <c r="G679" t="s">
        <v>258</v>
      </c>
      <c r="H679" t="s">
        <v>259</v>
      </c>
      <c r="J679" t="s">
        <v>156</v>
      </c>
      <c r="K679" t="s">
        <v>45</v>
      </c>
      <c r="L679">
        <v>27454</v>
      </c>
      <c r="M679">
        <v>32</v>
      </c>
      <c r="N679">
        <v>5</v>
      </c>
      <c r="O679">
        <v>884.60799999999995</v>
      </c>
      <c r="P679">
        <v>31.9</v>
      </c>
      <c r="Q679">
        <v>30</v>
      </c>
      <c r="R679">
        <v>3</v>
      </c>
      <c r="S679" t="s">
        <v>116</v>
      </c>
      <c r="T679">
        <v>2</v>
      </c>
      <c r="U679">
        <v>3</v>
      </c>
      <c r="V679">
        <v>0</v>
      </c>
      <c r="W679">
        <v>0</v>
      </c>
      <c r="X679">
        <v>0</v>
      </c>
      <c r="Y679" s="20">
        <f>SUM(Table1[[#This Row],[dty_type_cnt1]:[dty_type_cnt5]])</f>
        <v>5</v>
      </c>
    </row>
    <row r="680" spans="1:25" x14ac:dyDescent="0.25">
      <c r="A680" s="15">
        <v>46102</v>
      </c>
      <c r="B680" t="s">
        <v>430</v>
      </c>
      <c r="C680" t="s">
        <v>256</v>
      </c>
      <c r="D680" t="s">
        <v>54</v>
      </c>
      <c r="E680" t="s">
        <v>301</v>
      </c>
      <c r="F680" t="s">
        <v>302</v>
      </c>
      <c r="G680" t="s">
        <v>258</v>
      </c>
      <c r="H680" t="s">
        <v>259</v>
      </c>
      <c r="J680" t="s">
        <v>156</v>
      </c>
      <c r="K680" t="s">
        <v>45</v>
      </c>
      <c r="L680">
        <v>27454</v>
      </c>
      <c r="M680">
        <v>41</v>
      </c>
      <c r="N680">
        <v>8</v>
      </c>
      <c r="O680">
        <v>1495.4390000000001</v>
      </c>
      <c r="P680">
        <v>62</v>
      </c>
      <c r="Q680">
        <v>20</v>
      </c>
      <c r="R680">
        <v>5</v>
      </c>
      <c r="S680" t="s">
        <v>116</v>
      </c>
      <c r="T680">
        <v>4</v>
      </c>
      <c r="U680">
        <v>3</v>
      </c>
      <c r="V680">
        <v>1</v>
      </c>
      <c r="W680">
        <v>0</v>
      </c>
      <c r="X680">
        <v>0</v>
      </c>
      <c r="Y680" s="20">
        <f>SUM(Table1[[#This Row],[dty_type_cnt1]:[dty_type_cnt5]])</f>
        <v>8</v>
      </c>
    </row>
    <row r="681" spans="1:25" x14ac:dyDescent="0.25">
      <c r="A681" s="15">
        <v>46102</v>
      </c>
      <c r="B681" t="s">
        <v>430</v>
      </c>
      <c r="C681" t="s">
        <v>256</v>
      </c>
      <c r="D681" t="s">
        <v>54</v>
      </c>
      <c r="E681" t="s">
        <v>303</v>
      </c>
      <c r="F681" t="s">
        <v>304</v>
      </c>
      <c r="G681" t="s">
        <v>258</v>
      </c>
      <c r="H681" t="s">
        <v>259</v>
      </c>
      <c r="J681" t="s">
        <v>156</v>
      </c>
      <c r="K681" t="s">
        <v>45</v>
      </c>
      <c r="L681">
        <v>27454</v>
      </c>
      <c r="M681">
        <v>28</v>
      </c>
      <c r="N681">
        <v>5</v>
      </c>
      <c r="O681">
        <v>486.72399999999999</v>
      </c>
      <c r="P681">
        <v>32.1</v>
      </c>
      <c r="Q681">
        <v>30</v>
      </c>
      <c r="R681">
        <v>2</v>
      </c>
      <c r="S681" t="s">
        <v>116</v>
      </c>
      <c r="T681">
        <v>2</v>
      </c>
      <c r="U681">
        <v>1</v>
      </c>
      <c r="V681">
        <v>1</v>
      </c>
      <c r="W681">
        <v>0</v>
      </c>
      <c r="X681">
        <v>0</v>
      </c>
      <c r="Y681" s="20">
        <f>SUM(Table1[[#This Row],[dty_type_cnt1]:[dty_type_cnt5]])</f>
        <v>4</v>
      </c>
    </row>
    <row r="682" spans="1:25" x14ac:dyDescent="0.25">
      <c r="A682" s="15">
        <v>46102</v>
      </c>
      <c r="B682" t="s">
        <v>430</v>
      </c>
      <c r="C682" t="s">
        <v>256</v>
      </c>
      <c r="D682" t="s">
        <v>54</v>
      </c>
      <c r="E682" t="s">
        <v>181</v>
      </c>
      <c r="F682" t="s">
        <v>182</v>
      </c>
      <c r="G682" t="s">
        <v>258</v>
      </c>
      <c r="H682" t="s">
        <v>259</v>
      </c>
      <c r="J682" t="s">
        <v>156</v>
      </c>
      <c r="K682" t="s">
        <v>45</v>
      </c>
      <c r="L682">
        <v>27454</v>
      </c>
      <c r="M682">
        <v>21</v>
      </c>
      <c r="N682">
        <v>4</v>
      </c>
      <c r="O682">
        <v>467.18400000000003</v>
      </c>
      <c r="P682">
        <v>51.6</v>
      </c>
      <c r="Q682">
        <v>30</v>
      </c>
      <c r="R682">
        <v>2</v>
      </c>
      <c r="S682" t="s">
        <v>116</v>
      </c>
      <c r="T682">
        <v>1</v>
      </c>
      <c r="U682">
        <v>1</v>
      </c>
      <c r="V682">
        <v>1</v>
      </c>
      <c r="W682">
        <v>0</v>
      </c>
      <c r="X682">
        <v>0</v>
      </c>
      <c r="Y682" s="20">
        <f>SUM(Table1[[#This Row],[dty_type_cnt1]:[dty_type_cnt5]])</f>
        <v>3</v>
      </c>
    </row>
    <row r="683" spans="1:25" x14ac:dyDescent="0.25">
      <c r="A683" s="15">
        <v>46102</v>
      </c>
      <c r="B683" t="s">
        <v>430</v>
      </c>
      <c r="C683" t="s">
        <v>256</v>
      </c>
      <c r="D683" t="s">
        <v>54</v>
      </c>
      <c r="E683" t="s">
        <v>305</v>
      </c>
      <c r="F683" t="s">
        <v>306</v>
      </c>
      <c r="G683" t="s">
        <v>258</v>
      </c>
      <c r="H683" t="s">
        <v>259</v>
      </c>
      <c r="J683" t="s">
        <v>156</v>
      </c>
      <c r="K683" t="s">
        <v>45</v>
      </c>
      <c r="L683">
        <v>27454</v>
      </c>
      <c r="M683">
        <v>32</v>
      </c>
      <c r="N683">
        <v>6</v>
      </c>
      <c r="O683">
        <v>536.10900000000004</v>
      </c>
      <c r="P683">
        <v>45.5</v>
      </c>
      <c r="Q683">
        <v>25</v>
      </c>
      <c r="R683">
        <v>2</v>
      </c>
      <c r="S683" t="s">
        <v>116</v>
      </c>
      <c r="T683">
        <v>2</v>
      </c>
      <c r="U683">
        <v>3</v>
      </c>
      <c r="V683">
        <v>1</v>
      </c>
      <c r="W683">
        <v>0</v>
      </c>
      <c r="X683">
        <v>0</v>
      </c>
      <c r="Y683" s="20">
        <f>SUM(Table1[[#This Row],[dty_type_cnt1]:[dty_type_cnt5]])</f>
        <v>6</v>
      </c>
    </row>
    <row r="684" spans="1:25" x14ac:dyDescent="0.25">
      <c r="A684" s="15">
        <v>46102</v>
      </c>
      <c r="B684" t="s">
        <v>430</v>
      </c>
      <c r="C684" t="s">
        <v>256</v>
      </c>
      <c r="D684" t="s">
        <v>54</v>
      </c>
      <c r="E684" t="s">
        <v>307</v>
      </c>
      <c r="F684" t="s">
        <v>308</v>
      </c>
      <c r="G684" t="s">
        <v>258</v>
      </c>
      <c r="H684" t="s">
        <v>259</v>
      </c>
      <c r="J684" t="s">
        <v>156</v>
      </c>
      <c r="K684" t="s">
        <v>45</v>
      </c>
      <c r="L684">
        <v>27454</v>
      </c>
      <c r="M684">
        <v>48</v>
      </c>
      <c r="N684">
        <v>10</v>
      </c>
      <c r="O684">
        <v>1406.3109999999999</v>
      </c>
      <c r="P684">
        <v>68.2</v>
      </c>
      <c r="Q684">
        <v>18</v>
      </c>
      <c r="R684">
        <v>5</v>
      </c>
      <c r="S684" t="s">
        <v>116</v>
      </c>
      <c r="T684">
        <v>4</v>
      </c>
      <c r="U684">
        <v>3</v>
      </c>
      <c r="V684">
        <v>2</v>
      </c>
      <c r="W684">
        <v>0</v>
      </c>
      <c r="X684">
        <v>0</v>
      </c>
      <c r="Y684" s="20">
        <f>SUM(Table1[[#This Row],[dty_type_cnt1]:[dty_type_cnt5]])</f>
        <v>9</v>
      </c>
    </row>
    <row r="685" spans="1:25" x14ac:dyDescent="0.25">
      <c r="A685" s="15">
        <v>46102</v>
      </c>
      <c r="B685" t="s">
        <v>430</v>
      </c>
      <c r="C685" t="s">
        <v>256</v>
      </c>
      <c r="D685" t="s">
        <v>54</v>
      </c>
      <c r="E685" t="s">
        <v>309</v>
      </c>
      <c r="F685" t="s">
        <v>310</v>
      </c>
      <c r="G685" t="s">
        <v>258</v>
      </c>
      <c r="H685" t="s">
        <v>259</v>
      </c>
      <c r="J685" t="s">
        <v>156</v>
      </c>
      <c r="K685" t="s">
        <v>45</v>
      </c>
      <c r="L685">
        <v>27454</v>
      </c>
      <c r="M685">
        <v>40</v>
      </c>
      <c r="N685">
        <v>8</v>
      </c>
      <c r="O685">
        <v>1273.8109999999999</v>
      </c>
      <c r="P685">
        <v>58</v>
      </c>
      <c r="Q685">
        <v>20</v>
      </c>
      <c r="R685">
        <v>4</v>
      </c>
      <c r="S685" t="s">
        <v>116</v>
      </c>
      <c r="T685">
        <v>4</v>
      </c>
      <c r="U685">
        <v>3</v>
      </c>
      <c r="V685">
        <v>1</v>
      </c>
      <c r="W685">
        <v>0</v>
      </c>
      <c r="X685">
        <v>0</v>
      </c>
      <c r="Y685" s="20">
        <f>SUM(Table1[[#This Row],[dty_type_cnt1]:[dty_type_cnt5]])</f>
        <v>8</v>
      </c>
    </row>
    <row r="686" spans="1:25" x14ac:dyDescent="0.25">
      <c r="A686" s="15">
        <v>46102</v>
      </c>
      <c r="B686" t="s">
        <v>430</v>
      </c>
      <c r="C686" t="s">
        <v>256</v>
      </c>
      <c r="D686" t="s">
        <v>54</v>
      </c>
      <c r="E686" t="s">
        <v>311</v>
      </c>
      <c r="F686" t="s">
        <v>312</v>
      </c>
      <c r="G686" t="s">
        <v>258</v>
      </c>
      <c r="H686" t="s">
        <v>259</v>
      </c>
      <c r="J686" t="s">
        <v>156</v>
      </c>
      <c r="K686" t="s">
        <v>45</v>
      </c>
      <c r="L686">
        <v>27454</v>
      </c>
      <c r="M686">
        <v>32</v>
      </c>
      <c r="N686">
        <v>8</v>
      </c>
      <c r="O686">
        <v>407.96499999999997</v>
      </c>
      <c r="P686">
        <v>89.4</v>
      </c>
      <c r="Q686">
        <v>20</v>
      </c>
      <c r="R686">
        <v>3</v>
      </c>
      <c r="S686" t="s">
        <v>116</v>
      </c>
      <c r="T686">
        <v>2</v>
      </c>
      <c r="U686">
        <v>1</v>
      </c>
      <c r="V686">
        <v>2</v>
      </c>
      <c r="W686">
        <v>0</v>
      </c>
      <c r="X686">
        <v>0</v>
      </c>
      <c r="Y686" s="20">
        <f>SUM(Table1[[#This Row],[dty_type_cnt1]:[dty_type_cnt5]])</f>
        <v>5</v>
      </c>
    </row>
    <row r="687" spans="1:25" x14ac:dyDescent="0.25">
      <c r="A687" s="15">
        <v>46102</v>
      </c>
      <c r="B687" t="s">
        <v>430</v>
      </c>
      <c r="C687" t="s">
        <v>256</v>
      </c>
      <c r="D687" t="s">
        <v>54</v>
      </c>
      <c r="E687" t="s">
        <v>99</v>
      </c>
      <c r="F687" t="s">
        <v>100</v>
      </c>
      <c r="G687" t="s">
        <v>258</v>
      </c>
      <c r="H687" t="s">
        <v>259</v>
      </c>
      <c r="J687" t="s">
        <v>63</v>
      </c>
      <c r="K687" t="s">
        <v>45</v>
      </c>
      <c r="L687">
        <v>27454</v>
      </c>
      <c r="M687">
        <v>24</v>
      </c>
      <c r="N687">
        <v>4</v>
      </c>
      <c r="O687">
        <v>329.42399999999998</v>
      </c>
      <c r="P687">
        <v>0.4</v>
      </c>
      <c r="Q687">
        <v>18</v>
      </c>
      <c r="R687">
        <v>2</v>
      </c>
      <c r="S687" t="s">
        <v>116</v>
      </c>
      <c r="T687">
        <v>2</v>
      </c>
      <c r="U687">
        <v>2</v>
      </c>
      <c r="V687">
        <v>0</v>
      </c>
      <c r="W687">
        <v>0</v>
      </c>
      <c r="X687">
        <v>0</v>
      </c>
      <c r="Y687" s="20">
        <f>SUM(Table1[[#This Row],[dty_type_cnt1]:[dty_type_cnt5]])</f>
        <v>4</v>
      </c>
    </row>
    <row r="688" spans="1:25" x14ac:dyDescent="0.25">
      <c r="A688" s="15">
        <v>46102</v>
      </c>
      <c r="B688" t="s">
        <v>430</v>
      </c>
      <c r="C688" t="s">
        <v>256</v>
      </c>
      <c r="D688" t="s">
        <v>46</v>
      </c>
      <c r="E688" t="s">
        <v>313</v>
      </c>
      <c r="F688" t="s">
        <v>314</v>
      </c>
      <c r="G688" t="s">
        <v>258</v>
      </c>
      <c r="H688" t="s">
        <v>259</v>
      </c>
      <c r="J688" t="s">
        <v>156</v>
      </c>
      <c r="K688" t="s">
        <v>45</v>
      </c>
      <c r="L688">
        <v>27454</v>
      </c>
      <c r="M688">
        <v>45</v>
      </c>
      <c r="N688">
        <v>16</v>
      </c>
      <c r="O688">
        <v>1779.9749999999999</v>
      </c>
      <c r="P688">
        <v>102.4</v>
      </c>
      <c r="Q688">
        <v>20</v>
      </c>
      <c r="R688">
        <v>8</v>
      </c>
      <c r="S688" t="s">
        <v>116</v>
      </c>
      <c r="T688">
        <v>7</v>
      </c>
      <c r="U688">
        <v>5</v>
      </c>
      <c r="V688">
        <v>5</v>
      </c>
      <c r="W688">
        <v>0</v>
      </c>
      <c r="X688">
        <v>0</v>
      </c>
      <c r="Y688" s="20">
        <f>SUM(Table1[[#This Row],[dty_type_cnt1]:[dty_type_cnt5]])</f>
        <v>17</v>
      </c>
    </row>
    <row r="689" spans="1:25" x14ac:dyDescent="0.25">
      <c r="A689" s="15">
        <v>46102</v>
      </c>
      <c r="B689" t="s">
        <v>430</v>
      </c>
      <c r="C689" t="s">
        <v>256</v>
      </c>
      <c r="D689" t="s">
        <v>55</v>
      </c>
      <c r="E689" t="s">
        <v>315</v>
      </c>
      <c r="F689" t="s">
        <v>316</v>
      </c>
      <c r="G689" t="s">
        <v>258</v>
      </c>
      <c r="H689" t="s">
        <v>259</v>
      </c>
      <c r="J689" t="s">
        <v>156</v>
      </c>
      <c r="K689" t="s">
        <v>45</v>
      </c>
      <c r="L689">
        <v>27454</v>
      </c>
      <c r="M689">
        <v>18</v>
      </c>
      <c r="N689">
        <v>2</v>
      </c>
      <c r="O689">
        <v>384.87400000000002</v>
      </c>
      <c r="P689">
        <v>23.9</v>
      </c>
      <c r="Q689">
        <v>60</v>
      </c>
      <c r="R689">
        <v>1</v>
      </c>
      <c r="S689" t="s">
        <v>116</v>
      </c>
      <c r="T689">
        <v>1</v>
      </c>
      <c r="U689">
        <v>1</v>
      </c>
      <c r="V689">
        <v>0</v>
      </c>
      <c r="W689">
        <v>0</v>
      </c>
      <c r="X689">
        <v>0</v>
      </c>
      <c r="Y689" s="20">
        <f>SUM(Table1[[#This Row],[dty_type_cnt1]:[dty_type_cnt5]])</f>
        <v>2</v>
      </c>
    </row>
    <row r="690" spans="1:25" x14ac:dyDescent="0.25">
      <c r="A690" s="15">
        <v>46102</v>
      </c>
      <c r="B690" t="s">
        <v>430</v>
      </c>
      <c r="C690" t="s">
        <v>256</v>
      </c>
      <c r="D690" t="s">
        <v>49</v>
      </c>
      <c r="E690" t="s">
        <v>250</v>
      </c>
      <c r="F690" t="s">
        <v>251</v>
      </c>
      <c r="G690" t="s">
        <v>258</v>
      </c>
      <c r="H690" t="s">
        <v>259</v>
      </c>
      <c r="J690" t="s">
        <v>156</v>
      </c>
      <c r="K690" t="s">
        <v>45</v>
      </c>
      <c r="L690">
        <v>27454</v>
      </c>
      <c r="M690">
        <v>67</v>
      </c>
      <c r="N690">
        <v>15</v>
      </c>
      <c r="O690">
        <v>1552.49</v>
      </c>
      <c r="P690">
        <v>271.5</v>
      </c>
      <c r="Q690">
        <v>15</v>
      </c>
      <c r="R690">
        <v>8</v>
      </c>
      <c r="S690" t="s">
        <v>116</v>
      </c>
      <c r="T690">
        <v>6</v>
      </c>
      <c r="U690">
        <v>7</v>
      </c>
      <c r="V690">
        <v>2</v>
      </c>
      <c r="W690">
        <v>0</v>
      </c>
      <c r="X690">
        <v>0</v>
      </c>
      <c r="Y690" s="20">
        <f>SUM(Table1[[#This Row],[dty_type_cnt1]:[dty_type_cnt5]])</f>
        <v>15</v>
      </c>
    </row>
    <row r="691" spans="1:25" x14ac:dyDescent="0.25">
      <c r="A691" s="15">
        <v>46102</v>
      </c>
      <c r="B691" t="s">
        <v>430</v>
      </c>
      <c r="C691" t="s">
        <v>256</v>
      </c>
      <c r="D691" t="s">
        <v>49</v>
      </c>
      <c r="E691" t="s">
        <v>104</v>
      </c>
      <c r="F691" t="s">
        <v>134</v>
      </c>
      <c r="G691" t="s">
        <v>258</v>
      </c>
      <c r="H691" t="s">
        <v>259</v>
      </c>
      <c r="J691" t="s">
        <v>0</v>
      </c>
      <c r="K691" t="s">
        <v>45</v>
      </c>
      <c r="L691">
        <v>27454</v>
      </c>
      <c r="M691">
        <v>32</v>
      </c>
      <c r="N691">
        <v>6</v>
      </c>
      <c r="O691">
        <v>992.44500000000005</v>
      </c>
      <c r="P691">
        <v>0.6</v>
      </c>
      <c r="Q691">
        <v>20</v>
      </c>
      <c r="R691">
        <v>3</v>
      </c>
      <c r="S691" t="s">
        <v>116</v>
      </c>
      <c r="T691">
        <v>3</v>
      </c>
      <c r="U691">
        <v>3</v>
      </c>
      <c r="V691">
        <v>0</v>
      </c>
      <c r="W691">
        <v>0</v>
      </c>
      <c r="X691">
        <v>0</v>
      </c>
      <c r="Y691" s="20">
        <f>SUM(Table1[[#This Row],[dty_type_cnt1]:[dty_type_cnt5]])</f>
        <v>6</v>
      </c>
    </row>
    <row r="692" spans="1:25" x14ac:dyDescent="0.25">
      <c r="A692" s="15">
        <v>46102</v>
      </c>
      <c r="B692" t="s">
        <v>430</v>
      </c>
      <c r="C692" t="s">
        <v>256</v>
      </c>
      <c r="D692" t="s">
        <v>49</v>
      </c>
      <c r="E692" t="s">
        <v>105</v>
      </c>
      <c r="F692" t="s">
        <v>152</v>
      </c>
      <c r="G692" t="s">
        <v>258</v>
      </c>
      <c r="H692" t="s">
        <v>259</v>
      </c>
      <c r="J692" t="s">
        <v>76</v>
      </c>
      <c r="K692" t="s">
        <v>45</v>
      </c>
      <c r="L692">
        <v>27454</v>
      </c>
      <c r="M692">
        <v>10</v>
      </c>
      <c r="N692">
        <v>2</v>
      </c>
      <c r="O692">
        <v>309.65499999999997</v>
      </c>
      <c r="P692">
        <v>6.5</v>
      </c>
      <c r="Q692">
        <v>30</v>
      </c>
      <c r="R692">
        <v>1</v>
      </c>
      <c r="S692" t="s">
        <v>116</v>
      </c>
      <c r="T692">
        <v>1</v>
      </c>
      <c r="U692">
        <v>0</v>
      </c>
      <c r="V692">
        <v>1</v>
      </c>
      <c r="W692">
        <v>0</v>
      </c>
      <c r="X692">
        <v>0</v>
      </c>
      <c r="Y692" s="20">
        <f>SUM(Table1[[#This Row],[dty_type_cnt1]:[dty_type_cnt5]])</f>
        <v>2</v>
      </c>
    </row>
    <row r="693" spans="1:25" x14ac:dyDescent="0.25">
      <c r="A693" s="15">
        <v>46103</v>
      </c>
      <c r="B693" t="s">
        <v>430</v>
      </c>
      <c r="C693" t="s">
        <v>256</v>
      </c>
      <c r="D693" t="s">
        <v>49</v>
      </c>
      <c r="E693" t="s">
        <v>254</v>
      </c>
      <c r="F693" t="s">
        <v>255</v>
      </c>
      <c r="G693" t="s">
        <v>258</v>
      </c>
      <c r="H693" t="s">
        <v>259</v>
      </c>
      <c r="J693" t="s">
        <v>0</v>
      </c>
      <c r="K693" t="s">
        <v>45</v>
      </c>
      <c r="L693">
        <v>27454</v>
      </c>
      <c r="M693">
        <v>35</v>
      </c>
      <c r="N693">
        <v>7</v>
      </c>
      <c r="O693">
        <v>1015.321</v>
      </c>
      <c r="P693">
        <v>112.2</v>
      </c>
      <c r="Q693">
        <v>30</v>
      </c>
      <c r="R693">
        <v>3</v>
      </c>
      <c r="S693" t="s">
        <v>116</v>
      </c>
      <c r="T693">
        <v>3</v>
      </c>
      <c r="U693">
        <v>3</v>
      </c>
      <c r="V693">
        <v>2</v>
      </c>
      <c r="W693">
        <v>0</v>
      </c>
      <c r="X693">
        <v>0</v>
      </c>
      <c r="Y693" s="20">
        <f>SUM(Table1[[#This Row],[dty_type_cnt1]:[dty_type_cnt5]])</f>
        <v>8</v>
      </c>
    </row>
    <row r="694" spans="1:25" x14ac:dyDescent="0.25">
      <c r="A694" s="15">
        <v>46103</v>
      </c>
      <c r="B694" t="s">
        <v>430</v>
      </c>
      <c r="C694" t="s">
        <v>256</v>
      </c>
      <c r="D694" t="s">
        <v>49</v>
      </c>
      <c r="E694" t="s">
        <v>231</v>
      </c>
      <c r="F694" t="s">
        <v>232</v>
      </c>
      <c r="G694" t="s">
        <v>258</v>
      </c>
      <c r="H694" t="s">
        <v>259</v>
      </c>
      <c r="J694" t="s">
        <v>0</v>
      </c>
      <c r="K694" t="s">
        <v>45</v>
      </c>
      <c r="L694">
        <v>27454</v>
      </c>
      <c r="M694">
        <v>50</v>
      </c>
      <c r="N694">
        <v>8</v>
      </c>
      <c r="O694">
        <v>2460</v>
      </c>
      <c r="P694">
        <v>97.8</v>
      </c>
      <c r="Q694">
        <v>30</v>
      </c>
      <c r="R694">
        <v>4</v>
      </c>
      <c r="S694" t="s">
        <v>116</v>
      </c>
      <c r="T694">
        <v>5</v>
      </c>
      <c r="U694">
        <v>3</v>
      </c>
      <c r="V694">
        <v>1</v>
      </c>
      <c r="W694">
        <v>0</v>
      </c>
      <c r="X694">
        <v>0</v>
      </c>
      <c r="Y694" s="20">
        <f>SUM(Table1[[#This Row],[dty_type_cnt1]:[dty_type_cnt5]])</f>
        <v>9</v>
      </c>
    </row>
    <row r="695" spans="1:25" x14ac:dyDescent="0.25">
      <c r="A695" s="15">
        <v>46103</v>
      </c>
      <c r="B695" t="s">
        <v>430</v>
      </c>
      <c r="C695" t="s">
        <v>256</v>
      </c>
      <c r="D695" t="s">
        <v>49</v>
      </c>
      <c r="E695" t="s">
        <v>135</v>
      </c>
      <c r="F695" t="s">
        <v>136</v>
      </c>
      <c r="G695" t="s">
        <v>258</v>
      </c>
      <c r="H695" t="s">
        <v>259</v>
      </c>
      <c r="J695" t="s">
        <v>156</v>
      </c>
      <c r="K695" t="s">
        <v>45</v>
      </c>
      <c r="L695">
        <v>27454</v>
      </c>
      <c r="M695">
        <v>36</v>
      </c>
      <c r="N695">
        <v>8</v>
      </c>
      <c r="O695">
        <v>2419.2829999999999</v>
      </c>
      <c r="P695">
        <v>199.2</v>
      </c>
      <c r="Q695">
        <v>30</v>
      </c>
      <c r="R695">
        <v>4</v>
      </c>
      <c r="S695" t="s">
        <v>116</v>
      </c>
      <c r="T695">
        <v>4</v>
      </c>
      <c r="U695">
        <v>4</v>
      </c>
      <c r="V695">
        <v>0</v>
      </c>
      <c r="W695">
        <v>0</v>
      </c>
      <c r="X695">
        <v>0</v>
      </c>
      <c r="Y695" s="20">
        <f>SUM(Table1[[#This Row],[dty_type_cnt1]:[dty_type_cnt5]])</f>
        <v>8</v>
      </c>
    </row>
    <row r="696" spans="1:25" x14ac:dyDescent="0.25">
      <c r="A696" s="15">
        <v>46103</v>
      </c>
      <c r="B696" t="s">
        <v>430</v>
      </c>
      <c r="C696" t="s">
        <v>256</v>
      </c>
      <c r="D696" t="s">
        <v>46</v>
      </c>
      <c r="E696">
        <v>7</v>
      </c>
      <c r="F696" t="s">
        <v>257</v>
      </c>
      <c r="G696" t="s">
        <v>258</v>
      </c>
      <c r="H696" t="s">
        <v>259</v>
      </c>
      <c r="J696" t="s">
        <v>156</v>
      </c>
      <c r="K696" t="s">
        <v>59</v>
      </c>
      <c r="L696">
        <v>27455</v>
      </c>
      <c r="M696">
        <v>103</v>
      </c>
      <c r="N696">
        <v>32</v>
      </c>
      <c r="O696">
        <v>1767.4780000000001</v>
      </c>
      <c r="P696">
        <v>263.5</v>
      </c>
      <c r="Q696">
        <v>15</v>
      </c>
      <c r="R696">
        <v>11</v>
      </c>
      <c r="S696" t="s">
        <v>116</v>
      </c>
      <c r="T696">
        <v>11</v>
      </c>
      <c r="U696">
        <v>9</v>
      </c>
      <c r="V696">
        <v>2</v>
      </c>
      <c r="W696">
        <v>0</v>
      </c>
      <c r="X696">
        <v>0</v>
      </c>
      <c r="Y696" s="20">
        <f>SUM(Table1[[#This Row],[dty_type_cnt1]:[dty_type_cnt5]])</f>
        <v>22</v>
      </c>
    </row>
    <row r="697" spans="1:25" x14ac:dyDescent="0.25">
      <c r="A697" s="15">
        <v>46103</v>
      </c>
      <c r="B697" t="s">
        <v>430</v>
      </c>
      <c r="C697" t="s">
        <v>256</v>
      </c>
      <c r="D697" t="s">
        <v>46</v>
      </c>
      <c r="E697">
        <v>9</v>
      </c>
      <c r="F697" t="s">
        <v>260</v>
      </c>
      <c r="G697" t="s">
        <v>258</v>
      </c>
      <c r="H697" t="s">
        <v>259</v>
      </c>
      <c r="J697" t="s">
        <v>156</v>
      </c>
      <c r="K697" t="s">
        <v>59</v>
      </c>
      <c r="L697">
        <v>27455</v>
      </c>
      <c r="M697">
        <v>79</v>
      </c>
      <c r="N697">
        <v>8</v>
      </c>
      <c r="O697">
        <v>932.899</v>
      </c>
      <c r="P697">
        <v>58.2</v>
      </c>
      <c r="Q697">
        <v>30</v>
      </c>
      <c r="R697">
        <v>4</v>
      </c>
      <c r="S697" t="s">
        <v>116</v>
      </c>
      <c r="T697">
        <v>7</v>
      </c>
      <c r="U697">
        <v>1</v>
      </c>
      <c r="V697">
        <v>4</v>
      </c>
      <c r="W697">
        <v>0</v>
      </c>
      <c r="X697">
        <v>0</v>
      </c>
      <c r="Y697" s="20">
        <f>SUM(Table1[[#This Row],[dty_type_cnt1]:[dty_type_cnt5]])</f>
        <v>12</v>
      </c>
    </row>
    <row r="698" spans="1:25" x14ac:dyDescent="0.25">
      <c r="A698" s="15">
        <v>46103</v>
      </c>
      <c r="B698" t="s">
        <v>430</v>
      </c>
      <c r="C698" t="s">
        <v>256</v>
      </c>
      <c r="D698" t="s">
        <v>46</v>
      </c>
      <c r="E698">
        <v>10</v>
      </c>
      <c r="F698" t="s">
        <v>261</v>
      </c>
      <c r="G698" t="s">
        <v>258</v>
      </c>
      <c r="H698" t="s">
        <v>259</v>
      </c>
      <c r="J698" t="s">
        <v>156</v>
      </c>
      <c r="K698" t="s">
        <v>59</v>
      </c>
      <c r="L698">
        <v>27455</v>
      </c>
      <c r="M698">
        <v>72</v>
      </c>
      <c r="N698">
        <v>12</v>
      </c>
      <c r="O698">
        <v>1826.662</v>
      </c>
      <c r="P698">
        <v>177.9</v>
      </c>
      <c r="Q698">
        <v>25</v>
      </c>
      <c r="R698">
        <v>6</v>
      </c>
      <c r="S698" t="s">
        <v>116</v>
      </c>
      <c r="T698">
        <v>7</v>
      </c>
      <c r="U698">
        <v>4</v>
      </c>
      <c r="V698">
        <v>2</v>
      </c>
      <c r="W698">
        <v>0</v>
      </c>
      <c r="X698">
        <v>0</v>
      </c>
      <c r="Y698" s="20">
        <f>SUM(Table1[[#This Row],[dty_type_cnt1]:[dty_type_cnt5]])</f>
        <v>13</v>
      </c>
    </row>
    <row r="699" spans="1:25" x14ac:dyDescent="0.25">
      <c r="A699" s="15">
        <v>46103</v>
      </c>
      <c r="B699" t="s">
        <v>430</v>
      </c>
      <c r="C699" t="s">
        <v>256</v>
      </c>
      <c r="D699" t="s">
        <v>406</v>
      </c>
      <c r="E699">
        <v>105</v>
      </c>
      <c r="F699" t="s">
        <v>263</v>
      </c>
      <c r="G699" t="s">
        <v>258</v>
      </c>
      <c r="H699" t="s">
        <v>259</v>
      </c>
      <c r="J699" t="s">
        <v>156</v>
      </c>
      <c r="K699" t="s">
        <v>59</v>
      </c>
      <c r="L699">
        <v>27455</v>
      </c>
      <c r="M699">
        <v>46</v>
      </c>
      <c r="N699">
        <v>6</v>
      </c>
      <c r="O699">
        <v>521.64</v>
      </c>
      <c r="P699">
        <v>38.4</v>
      </c>
      <c r="Q699">
        <v>30</v>
      </c>
      <c r="R699">
        <v>3</v>
      </c>
      <c r="S699" t="s">
        <v>116</v>
      </c>
      <c r="T699">
        <v>3</v>
      </c>
      <c r="U699">
        <v>3</v>
      </c>
      <c r="V699">
        <v>0</v>
      </c>
      <c r="W699">
        <v>0</v>
      </c>
      <c r="X699">
        <v>0</v>
      </c>
      <c r="Y699" s="20">
        <f>SUM(Table1[[#This Row],[dty_type_cnt1]:[dty_type_cnt5]])</f>
        <v>6</v>
      </c>
    </row>
    <row r="700" spans="1:25" x14ac:dyDescent="0.25">
      <c r="A700" s="15">
        <v>46103</v>
      </c>
      <c r="B700" t="s">
        <v>430</v>
      </c>
      <c r="C700" t="s">
        <v>256</v>
      </c>
      <c r="D700" t="s">
        <v>46</v>
      </c>
      <c r="E700">
        <v>110</v>
      </c>
      <c r="F700" t="s">
        <v>264</v>
      </c>
      <c r="G700" t="s">
        <v>258</v>
      </c>
      <c r="H700" t="s">
        <v>259</v>
      </c>
      <c r="J700" t="s">
        <v>156</v>
      </c>
      <c r="K700" t="s">
        <v>59</v>
      </c>
      <c r="L700">
        <v>27455</v>
      </c>
      <c r="M700">
        <v>72</v>
      </c>
      <c r="N700">
        <v>2</v>
      </c>
      <c r="O700">
        <v>215.49600000000001</v>
      </c>
      <c r="P700">
        <v>10.3</v>
      </c>
      <c r="Q700">
        <v>27</v>
      </c>
      <c r="R700">
        <v>1</v>
      </c>
      <c r="S700" t="s">
        <v>116</v>
      </c>
      <c r="T700">
        <v>1</v>
      </c>
      <c r="U700">
        <v>1</v>
      </c>
      <c r="V700">
        <v>0</v>
      </c>
      <c r="W700">
        <v>0</v>
      </c>
      <c r="X700">
        <v>0</v>
      </c>
      <c r="Y700" s="20">
        <f>SUM(Table1[[#This Row],[dty_type_cnt1]:[dty_type_cnt5]])</f>
        <v>2</v>
      </c>
    </row>
    <row r="701" spans="1:25" x14ac:dyDescent="0.25">
      <c r="A701" s="15">
        <v>46103</v>
      </c>
      <c r="B701" t="s">
        <v>430</v>
      </c>
      <c r="C701" t="s">
        <v>256</v>
      </c>
      <c r="D701" t="s">
        <v>46</v>
      </c>
      <c r="E701">
        <v>12</v>
      </c>
      <c r="F701" t="s">
        <v>265</v>
      </c>
      <c r="G701" t="s">
        <v>258</v>
      </c>
      <c r="H701" t="s">
        <v>259</v>
      </c>
      <c r="J701" t="s">
        <v>0</v>
      </c>
      <c r="K701" t="s">
        <v>59</v>
      </c>
      <c r="L701">
        <v>27455</v>
      </c>
      <c r="M701">
        <v>92</v>
      </c>
      <c r="N701">
        <v>22</v>
      </c>
      <c r="O701">
        <v>2588.328</v>
      </c>
      <c r="P701">
        <v>175</v>
      </c>
      <c r="Q701">
        <v>20</v>
      </c>
      <c r="R701">
        <v>11</v>
      </c>
      <c r="S701" t="s">
        <v>116</v>
      </c>
      <c r="T701">
        <v>12</v>
      </c>
      <c r="U701">
        <v>10</v>
      </c>
      <c r="V701">
        <v>1</v>
      </c>
      <c r="W701">
        <v>0</v>
      </c>
      <c r="X701">
        <v>0</v>
      </c>
      <c r="Y701" s="20">
        <f>SUM(Table1[[#This Row],[dty_type_cnt1]:[dty_type_cnt5]])</f>
        <v>23</v>
      </c>
    </row>
    <row r="702" spans="1:25" x14ac:dyDescent="0.25">
      <c r="A702" s="15">
        <v>46103</v>
      </c>
      <c r="B702" t="s">
        <v>430</v>
      </c>
      <c r="C702" t="s">
        <v>256</v>
      </c>
      <c r="D702" t="s">
        <v>46</v>
      </c>
      <c r="E702">
        <v>14</v>
      </c>
      <c r="F702" t="s">
        <v>317</v>
      </c>
      <c r="G702" t="s">
        <v>258</v>
      </c>
      <c r="H702" t="s">
        <v>259</v>
      </c>
      <c r="J702" t="s">
        <v>0</v>
      </c>
      <c r="K702" t="s">
        <v>59</v>
      </c>
      <c r="L702">
        <v>27455</v>
      </c>
      <c r="M702">
        <v>12</v>
      </c>
      <c r="N702">
        <v>2</v>
      </c>
      <c r="O702">
        <v>158.10599999999999</v>
      </c>
      <c r="P702">
        <v>0.2</v>
      </c>
      <c r="Q702">
        <v>20</v>
      </c>
      <c r="R702">
        <v>1</v>
      </c>
      <c r="S702" t="s">
        <v>116</v>
      </c>
      <c r="T702">
        <v>1</v>
      </c>
      <c r="U702">
        <v>1</v>
      </c>
      <c r="V702">
        <v>0</v>
      </c>
      <c r="W702">
        <v>0</v>
      </c>
      <c r="X702">
        <v>0</v>
      </c>
      <c r="Y702" s="20">
        <f>SUM(Table1[[#This Row],[dty_type_cnt1]:[dty_type_cnt5]])</f>
        <v>2</v>
      </c>
    </row>
    <row r="703" spans="1:25" x14ac:dyDescent="0.25">
      <c r="A703" s="15">
        <v>46103</v>
      </c>
      <c r="B703" t="s">
        <v>430</v>
      </c>
      <c r="C703" t="s">
        <v>256</v>
      </c>
      <c r="D703" t="s">
        <v>46</v>
      </c>
      <c r="E703">
        <v>15</v>
      </c>
      <c r="F703" t="s">
        <v>266</v>
      </c>
      <c r="G703" t="s">
        <v>258</v>
      </c>
      <c r="H703" t="s">
        <v>259</v>
      </c>
      <c r="J703" t="s">
        <v>156</v>
      </c>
      <c r="K703" t="s">
        <v>59</v>
      </c>
      <c r="L703">
        <v>27455</v>
      </c>
      <c r="M703">
        <v>97</v>
      </c>
      <c r="N703">
        <v>32</v>
      </c>
      <c r="O703">
        <v>2284.1480000000001</v>
      </c>
      <c r="P703">
        <v>364.6</v>
      </c>
      <c r="Q703">
        <v>20</v>
      </c>
      <c r="R703">
        <v>14</v>
      </c>
      <c r="S703" t="s">
        <v>116</v>
      </c>
      <c r="T703">
        <v>10</v>
      </c>
      <c r="U703">
        <v>12</v>
      </c>
      <c r="V703">
        <v>2</v>
      </c>
      <c r="W703">
        <v>0</v>
      </c>
      <c r="X703">
        <v>0</v>
      </c>
      <c r="Y703" s="20">
        <f>SUM(Table1[[#This Row],[dty_type_cnt1]:[dty_type_cnt5]])</f>
        <v>24</v>
      </c>
    </row>
    <row r="704" spans="1:25" x14ac:dyDescent="0.25">
      <c r="A704" s="15">
        <v>46103</v>
      </c>
      <c r="B704" t="s">
        <v>430</v>
      </c>
      <c r="C704" t="s">
        <v>256</v>
      </c>
      <c r="D704" t="s">
        <v>46</v>
      </c>
      <c r="E704" t="s">
        <v>267</v>
      </c>
      <c r="F704" t="s">
        <v>268</v>
      </c>
      <c r="G704" t="s">
        <v>258</v>
      </c>
      <c r="H704" t="s">
        <v>259</v>
      </c>
      <c r="J704" t="s">
        <v>156</v>
      </c>
      <c r="K704" t="s">
        <v>59</v>
      </c>
      <c r="L704">
        <v>27455</v>
      </c>
      <c r="M704">
        <v>42</v>
      </c>
      <c r="N704">
        <v>12</v>
      </c>
      <c r="O704">
        <v>830.97</v>
      </c>
      <c r="P704">
        <v>93.9</v>
      </c>
      <c r="Q704">
        <v>0</v>
      </c>
      <c r="R704">
        <v>7</v>
      </c>
      <c r="S704" t="s">
        <v>116</v>
      </c>
      <c r="T704">
        <v>3</v>
      </c>
      <c r="U704">
        <v>4</v>
      </c>
      <c r="V704">
        <v>2</v>
      </c>
      <c r="W704">
        <v>0</v>
      </c>
      <c r="X704">
        <v>0</v>
      </c>
      <c r="Y704" s="20">
        <f>SUM(Table1[[#This Row],[dty_type_cnt1]:[dty_type_cnt5]])</f>
        <v>9</v>
      </c>
    </row>
    <row r="705" spans="1:25" x14ac:dyDescent="0.25">
      <c r="A705" s="15">
        <v>46103</v>
      </c>
      <c r="B705" t="s">
        <v>430</v>
      </c>
      <c r="C705" t="s">
        <v>256</v>
      </c>
      <c r="D705" t="s">
        <v>46</v>
      </c>
      <c r="E705" t="s">
        <v>269</v>
      </c>
      <c r="F705" t="s">
        <v>265</v>
      </c>
      <c r="G705" t="s">
        <v>258</v>
      </c>
      <c r="H705" t="s">
        <v>259</v>
      </c>
      <c r="J705" t="s">
        <v>0</v>
      </c>
      <c r="K705" t="s">
        <v>59</v>
      </c>
      <c r="L705">
        <v>27455</v>
      </c>
      <c r="M705">
        <v>42</v>
      </c>
      <c r="N705">
        <v>12</v>
      </c>
      <c r="O705">
        <v>1051.386</v>
      </c>
      <c r="P705">
        <v>109</v>
      </c>
      <c r="Q705">
        <v>15</v>
      </c>
      <c r="R705">
        <v>4</v>
      </c>
      <c r="S705" t="s">
        <v>116</v>
      </c>
      <c r="T705">
        <v>5</v>
      </c>
      <c r="U705">
        <v>3</v>
      </c>
      <c r="V705">
        <v>1</v>
      </c>
      <c r="W705">
        <v>0</v>
      </c>
      <c r="X705">
        <v>0</v>
      </c>
      <c r="Y705" s="20">
        <f>SUM(Table1[[#This Row],[dty_type_cnt1]:[dty_type_cnt5]])</f>
        <v>9</v>
      </c>
    </row>
    <row r="706" spans="1:25" x14ac:dyDescent="0.25">
      <c r="A706" s="15">
        <v>46103</v>
      </c>
      <c r="B706" t="s">
        <v>430</v>
      </c>
      <c r="C706" t="s">
        <v>256</v>
      </c>
      <c r="D706" t="s">
        <v>46</v>
      </c>
      <c r="E706">
        <v>23</v>
      </c>
      <c r="F706" t="s">
        <v>318</v>
      </c>
      <c r="G706" t="s">
        <v>258</v>
      </c>
      <c r="H706" t="s">
        <v>259</v>
      </c>
      <c r="J706" t="s">
        <v>0</v>
      </c>
      <c r="K706" t="s">
        <v>59</v>
      </c>
      <c r="L706">
        <v>27455</v>
      </c>
      <c r="M706">
        <v>37</v>
      </c>
      <c r="N706">
        <v>8</v>
      </c>
      <c r="O706">
        <v>869.95100000000002</v>
      </c>
      <c r="P706">
        <v>0.8</v>
      </c>
      <c r="Q706">
        <v>30</v>
      </c>
      <c r="R706">
        <v>4</v>
      </c>
      <c r="S706" t="s">
        <v>116</v>
      </c>
      <c r="T706">
        <v>5</v>
      </c>
      <c r="U706">
        <v>2</v>
      </c>
      <c r="V706">
        <v>2</v>
      </c>
      <c r="W706">
        <v>0</v>
      </c>
      <c r="X706">
        <v>0</v>
      </c>
      <c r="Y706" s="20">
        <f>SUM(Table1[[#This Row],[dty_type_cnt1]:[dty_type_cnt5]])</f>
        <v>9</v>
      </c>
    </row>
    <row r="707" spans="1:25" x14ac:dyDescent="0.25">
      <c r="A707" s="15">
        <v>46103</v>
      </c>
      <c r="B707" t="s">
        <v>430</v>
      </c>
      <c r="C707" t="s">
        <v>256</v>
      </c>
      <c r="D707" t="s">
        <v>46</v>
      </c>
      <c r="E707">
        <v>27</v>
      </c>
      <c r="F707" t="s">
        <v>270</v>
      </c>
      <c r="G707" t="s">
        <v>258</v>
      </c>
      <c r="H707" t="s">
        <v>259</v>
      </c>
      <c r="J707" t="s">
        <v>156</v>
      </c>
      <c r="K707" t="s">
        <v>59</v>
      </c>
      <c r="L707">
        <v>27455</v>
      </c>
      <c r="M707">
        <v>31</v>
      </c>
      <c r="N707">
        <v>6</v>
      </c>
      <c r="O707">
        <v>620.59500000000003</v>
      </c>
      <c r="P707">
        <v>137.19999999999999</v>
      </c>
      <c r="Q707">
        <v>25</v>
      </c>
      <c r="R707">
        <v>3</v>
      </c>
      <c r="S707" t="s">
        <v>116</v>
      </c>
      <c r="T707">
        <v>3</v>
      </c>
      <c r="U707">
        <v>3</v>
      </c>
      <c r="V707">
        <v>0</v>
      </c>
      <c r="W707">
        <v>0</v>
      </c>
      <c r="X707">
        <v>0</v>
      </c>
      <c r="Y707" s="20">
        <f>SUM(Table1[[#This Row],[dty_type_cnt1]:[dty_type_cnt5]])</f>
        <v>6</v>
      </c>
    </row>
    <row r="708" spans="1:25" x14ac:dyDescent="0.25">
      <c r="A708" s="15">
        <v>46103</v>
      </c>
      <c r="B708" t="s">
        <v>430</v>
      </c>
      <c r="C708" t="s">
        <v>256</v>
      </c>
      <c r="D708" t="s">
        <v>46</v>
      </c>
      <c r="E708">
        <v>28</v>
      </c>
      <c r="F708" t="s">
        <v>376</v>
      </c>
      <c r="G708" t="s">
        <v>258</v>
      </c>
      <c r="H708" t="s">
        <v>259</v>
      </c>
      <c r="J708" t="s">
        <v>0</v>
      </c>
      <c r="K708" t="s">
        <v>59</v>
      </c>
      <c r="L708">
        <v>27455</v>
      </c>
      <c r="M708">
        <v>14</v>
      </c>
      <c r="N708">
        <v>2</v>
      </c>
      <c r="O708">
        <v>195.041</v>
      </c>
      <c r="P708">
        <v>0.2</v>
      </c>
      <c r="Q708">
        <v>60</v>
      </c>
      <c r="R708">
        <v>1</v>
      </c>
      <c r="S708" t="s">
        <v>116</v>
      </c>
      <c r="T708">
        <v>1</v>
      </c>
      <c r="U708">
        <v>1</v>
      </c>
      <c r="V708">
        <v>0</v>
      </c>
      <c r="W708">
        <v>0</v>
      </c>
      <c r="X708">
        <v>0</v>
      </c>
      <c r="Y708" s="20">
        <f>SUM(Table1[[#This Row],[dty_type_cnt1]:[dty_type_cnt5]])</f>
        <v>2</v>
      </c>
    </row>
    <row r="709" spans="1:25" x14ac:dyDescent="0.25">
      <c r="A709" s="15">
        <v>46103</v>
      </c>
      <c r="B709" t="s">
        <v>430</v>
      </c>
      <c r="C709" t="s">
        <v>256</v>
      </c>
      <c r="D709" t="s">
        <v>46</v>
      </c>
      <c r="E709">
        <v>29</v>
      </c>
      <c r="F709" t="s">
        <v>271</v>
      </c>
      <c r="G709" t="s">
        <v>258</v>
      </c>
      <c r="H709" t="s">
        <v>259</v>
      </c>
      <c r="J709" t="s">
        <v>156</v>
      </c>
      <c r="K709" t="s">
        <v>59</v>
      </c>
      <c r="L709">
        <v>27455</v>
      </c>
      <c r="M709">
        <v>71</v>
      </c>
      <c r="N709">
        <v>16</v>
      </c>
      <c r="O709">
        <v>956.32600000000002</v>
      </c>
      <c r="P709">
        <v>269.3</v>
      </c>
      <c r="Q709">
        <v>30</v>
      </c>
      <c r="R709">
        <v>8</v>
      </c>
      <c r="S709" t="s">
        <v>116</v>
      </c>
      <c r="T709">
        <v>4</v>
      </c>
      <c r="U709">
        <v>3</v>
      </c>
      <c r="V709">
        <v>1</v>
      </c>
      <c r="W709">
        <v>0</v>
      </c>
      <c r="X709">
        <v>0</v>
      </c>
      <c r="Y709" s="20">
        <f>SUM(Table1[[#This Row],[dty_type_cnt1]:[dty_type_cnt5]])</f>
        <v>8</v>
      </c>
    </row>
    <row r="710" spans="1:25" x14ac:dyDescent="0.25">
      <c r="A710" s="15">
        <v>46103</v>
      </c>
      <c r="B710" t="s">
        <v>430</v>
      </c>
      <c r="C710" t="s">
        <v>256</v>
      </c>
      <c r="D710" t="s">
        <v>46</v>
      </c>
      <c r="E710">
        <v>33</v>
      </c>
      <c r="F710" t="s">
        <v>238</v>
      </c>
      <c r="G710" t="s">
        <v>258</v>
      </c>
      <c r="H710" t="s">
        <v>259</v>
      </c>
      <c r="J710" t="s">
        <v>0</v>
      </c>
      <c r="K710" t="s">
        <v>59</v>
      </c>
      <c r="L710">
        <v>27455</v>
      </c>
      <c r="M710">
        <v>40</v>
      </c>
      <c r="N710">
        <v>8</v>
      </c>
      <c r="O710">
        <v>1122.22</v>
      </c>
      <c r="P710">
        <v>26</v>
      </c>
      <c r="Q710">
        <v>25</v>
      </c>
      <c r="R710">
        <v>4</v>
      </c>
      <c r="S710" t="s">
        <v>116</v>
      </c>
      <c r="T710">
        <v>4</v>
      </c>
      <c r="U710">
        <v>4</v>
      </c>
      <c r="V710">
        <v>0</v>
      </c>
      <c r="W710">
        <v>0</v>
      </c>
      <c r="X710">
        <v>0</v>
      </c>
      <c r="Y710" s="20">
        <f>SUM(Table1[[#This Row],[dty_type_cnt1]:[dty_type_cnt5]])</f>
        <v>8</v>
      </c>
    </row>
    <row r="711" spans="1:25" x14ac:dyDescent="0.25">
      <c r="A711" s="15">
        <v>46103</v>
      </c>
      <c r="B711" t="s">
        <v>430</v>
      </c>
      <c r="C711" t="s">
        <v>256</v>
      </c>
      <c r="D711" t="s">
        <v>46</v>
      </c>
      <c r="E711">
        <v>51</v>
      </c>
      <c r="F711" t="s">
        <v>272</v>
      </c>
      <c r="G711" t="s">
        <v>258</v>
      </c>
      <c r="H711" t="s">
        <v>259</v>
      </c>
      <c r="J711" t="s">
        <v>156</v>
      </c>
      <c r="K711" t="s">
        <v>59</v>
      </c>
      <c r="L711">
        <v>27455</v>
      </c>
      <c r="M711">
        <v>49</v>
      </c>
      <c r="N711">
        <v>14</v>
      </c>
      <c r="O711">
        <v>1207.5219999999999</v>
      </c>
      <c r="P711">
        <v>63.7</v>
      </c>
      <c r="Q711">
        <v>20</v>
      </c>
      <c r="R711">
        <v>6</v>
      </c>
      <c r="S711" t="s">
        <v>116</v>
      </c>
      <c r="T711">
        <v>5</v>
      </c>
      <c r="U711">
        <v>6</v>
      </c>
      <c r="V711">
        <v>0</v>
      </c>
      <c r="W711">
        <v>0</v>
      </c>
      <c r="X711">
        <v>0</v>
      </c>
      <c r="Y711" s="20">
        <f>SUM(Table1[[#This Row],[dty_type_cnt1]:[dty_type_cnt5]])</f>
        <v>11</v>
      </c>
    </row>
    <row r="712" spans="1:25" x14ac:dyDescent="0.25">
      <c r="A712" s="15">
        <v>46103</v>
      </c>
      <c r="B712" t="s">
        <v>430</v>
      </c>
      <c r="C712" t="s">
        <v>256</v>
      </c>
      <c r="D712" t="s">
        <v>46</v>
      </c>
      <c r="E712">
        <v>55</v>
      </c>
      <c r="F712" t="s">
        <v>48</v>
      </c>
      <c r="G712" t="s">
        <v>258</v>
      </c>
      <c r="H712" t="s">
        <v>259</v>
      </c>
      <c r="J712" t="s">
        <v>0</v>
      </c>
      <c r="K712" t="s">
        <v>59</v>
      </c>
      <c r="L712">
        <v>27455</v>
      </c>
      <c r="M712">
        <v>10</v>
      </c>
      <c r="N712">
        <v>2</v>
      </c>
      <c r="O712">
        <v>264.80500000000001</v>
      </c>
      <c r="P712">
        <v>0.2</v>
      </c>
      <c r="Q712">
        <v>85</v>
      </c>
      <c r="R712">
        <v>1</v>
      </c>
      <c r="S712" t="s">
        <v>116</v>
      </c>
      <c r="T712">
        <v>1</v>
      </c>
      <c r="U712">
        <v>1</v>
      </c>
      <c r="V712">
        <v>0</v>
      </c>
      <c r="W712">
        <v>0</v>
      </c>
      <c r="X712">
        <v>0</v>
      </c>
      <c r="Y712" s="20">
        <f>SUM(Table1[[#This Row],[dty_type_cnt1]:[dty_type_cnt5]])</f>
        <v>2</v>
      </c>
    </row>
    <row r="713" spans="1:25" x14ac:dyDescent="0.25">
      <c r="A713" s="15">
        <v>46103</v>
      </c>
      <c r="B713" t="s">
        <v>430</v>
      </c>
      <c r="C713" t="s">
        <v>256</v>
      </c>
      <c r="D713" t="s">
        <v>46</v>
      </c>
      <c r="E713">
        <v>61</v>
      </c>
      <c r="F713" t="s">
        <v>378</v>
      </c>
      <c r="G713" t="s">
        <v>258</v>
      </c>
      <c r="H713" t="s">
        <v>259</v>
      </c>
      <c r="J713" t="s">
        <v>0</v>
      </c>
      <c r="K713" t="s">
        <v>59</v>
      </c>
      <c r="L713">
        <v>27455</v>
      </c>
      <c r="M713">
        <v>40</v>
      </c>
      <c r="N713">
        <v>8</v>
      </c>
      <c r="O713">
        <v>1092.44</v>
      </c>
      <c r="P713">
        <v>0.8</v>
      </c>
      <c r="Q713">
        <v>20</v>
      </c>
      <c r="R713">
        <v>4</v>
      </c>
      <c r="S713" t="s">
        <v>116</v>
      </c>
      <c r="T713">
        <v>4</v>
      </c>
      <c r="U713">
        <v>4</v>
      </c>
      <c r="V713">
        <v>0</v>
      </c>
      <c r="W713">
        <v>0</v>
      </c>
      <c r="X713">
        <v>0</v>
      </c>
      <c r="Y713" s="20">
        <f>SUM(Table1[[#This Row],[dty_type_cnt1]:[dty_type_cnt5]])</f>
        <v>8</v>
      </c>
    </row>
    <row r="714" spans="1:25" x14ac:dyDescent="0.25">
      <c r="A714" s="15">
        <v>46103</v>
      </c>
      <c r="B714" t="s">
        <v>430</v>
      </c>
      <c r="C714" t="s">
        <v>256</v>
      </c>
      <c r="D714" t="s">
        <v>46</v>
      </c>
      <c r="E714" t="s">
        <v>273</v>
      </c>
      <c r="F714" t="s">
        <v>274</v>
      </c>
      <c r="G714" t="s">
        <v>258</v>
      </c>
      <c r="H714" t="s">
        <v>259</v>
      </c>
      <c r="J714" t="s">
        <v>156</v>
      </c>
      <c r="K714" t="s">
        <v>59</v>
      </c>
      <c r="L714">
        <v>27455</v>
      </c>
      <c r="M714">
        <v>66</v>
      </c>
      <c r="N714">
        <v>18</v>
      </c>
      <c r="O714">
        <v>2846.54</v>
      </c>
      <c r="P714">
        <v>372.8</v>
      </c>
      <c r="Q714">
        <v>30</v>
      </c>
      <c r="R714">
        <v>9</v>
      </c>
      <c r="S714" t="s">
        <v>116</v>
      </c>
      <c r="T714">
        <v>10</v>
      </c>
      <c r="U714">
        <v>12</v>
      </c>
      <c r="V714">
        <v>0</v>
      </c>
      <c r="W714">
        <v>0</v>
      </c>
      <c r="X714">
        <v>0</v>
      </c>
      <c r="Y714" s="20">
        <f>SUM(Table1[[#This Row],[dty_type_cnt1]:[dty_type_cnt5]])</f>
        <v>22</v>
      </c>
    </row>
    <row r="715" spans="1:25" x14ac:dyDescent="0.25">
      <c r="A715" s="15">
        <v>46103</v>
      </c>
      <c r="B715" t="s">
        <v>430</v>
      </c>
      <c r="C715" t="s">
        <v>256</v>
      </c>
      <c r="D715" t="s">
        <v>46</v>
      </c>
      <c r="E715">
        <v>81</v>
      </c>
      <c r="F715" t="s">
        <v>275</v>
      </c>
      <c r="G715" t="s">
        <v>258</v>
      </c>
      <c r="H715" t="s">
        <v>259</v>
      </c>
      <c r="J715" t="s">
        <v>156</v>
      </c>
      <c r="K715" t="s">
        <v>59</v>
      </c>
      <c r="L715">
        <v>27455</v>
      </c>
      <c r="M715">
        <v>94</v>
      </c>
      <c r="N715">
        <v>12</v>
      </c>
      <c r="O715">
        <v>1938.374</v>
      </c>
      <c r="P715">
        <v>107.6</v>
      </c>
      <c r="Q715">
        <v>20</v>
      </c>
      <c r="R715">
        <v>6</v>
      </c>
      <c r="S715" t="s">
        <v>116</v>
      </c>
      <c r="T715">
        <v>9</v>
      </c>
      <c r="U715">
        <v>10</v>
      </c>
      <c r="V715">
        <v>0</v>
      </c>
      <c r="W715">
        <v>0</v>
      </c>
      <c r="X715">
        <v>0</v>
      </c>
      <c r="Y715" s="20">
        <f>SUM(Table1[[#This Row],[dty_type_cnt1]:[dty_type_cnt5]])</f>
        <v>19</v>
      </c>
    </row>
    <row r="716" spans="1:25" x14ac:dyDescent="0.25">
      <c r="A716" s="15">
        <v>46103</v>
      </c>
      <c r="B716" t="s">
        <v>430</v>
      </c>
      <c r="C716" t="s">
        <v>256</v>
      </c>
      <c r="D716" t="s">
        <v>46</v>
      </c>
      <c r="E716">
        <v>84</v>
      </c>
      <c r="F716" t="s">
        <v>164</v>
      </c>
      <c r="G716" t="s">
        <v>258</v>
      </c>
      <c r="H716" t="s">
        <v>259</v>
      </c>
      <c r="J716" t="s">
        <v>156</v>
      </c>
      <c r="K716" t="s">
        <v>59</v>
      </c>
      <c r="L716">
        <v>27455</v>
      </c>
      <c r="M716">
        <v>82</v>
      </c>
      <c r="N716">
        <v>20</v>
      </c>
      <c r="O716">
        <v>1826.77</v>
      </c>
      <c r="P716">
        <v>197.9</v>
      </c>
      <c r="Q716">
        <v>20</v>
      </c>
      <c r="R716">
        <v>9</v>
      </c>
      <c r="S716" t="s">
        <v>116</v>
      </c>
      <c r="T716">
        <v>9</v>
      </c>
      <c r="U716">
        <v>9</v>
      </c>
      <c r="V716">
        <v>0</v>
      </c>
      <c r="W716">
        <v>0</v>
      </c>
      <c r="X716">
        <v>0</v>
      </c>
      <c r="Y716" s="20">
        <f>SUM(Table1[[#This Row],[dty_type_cnt1]:[dty_type_cnt5]])</f>
        <v>18</v>
      </c>
    </row>
    <row r="717" spans="1:25" x14ac:dyDescent="0.25">
      <c r="A717" s="15">
        <v>46103</v>
      </c>
      <c r="B717" t="s">
        <v>430</v>
      </c>
      <c r="C717" t="s">
        <v>256</v>
      </c>
      <c r="D717" t="s">
        <v>46</v>
      </c>
      <c r="E717" t="s">
        <v>418</v>
      </c>
      <c r="F717" t="s">
        <v>419</v>
      </c>
      <c r="G717" t="s">
        <v>258</v>
      </c>
      <c r="H717" t="s">
        <v>259</v>
      </c>
      <c r="J717" t="s">
        <v>156</v>
      </c>
      <c r="K717" t="s">
        <v>59</v>
      </c>
      <c r="L717">
        <v>27455</v>
      </c>
      <c r="M717">
        <v>14</v>
      </c>
      <c r="N717">
        <v>19</v>
      </c>
      <c r="O717">
        <v>148.02199999999999</v>
      </c>
      <c r="P717">
        <v>221.5</v>
      </c>
      <c r="Q717">
        <v>10</v>
      </c>
      <c r="R717">
        <v>5</v>
      </c>
      <c r="S717" t="s">
        <v>116</v>
      </c>
      <c r="T717">
        <v>1</v>
      </c>
      <c r="U717">
        <v>1</v>
      </c>
      <c r="V717">
        <v>0</v>
      </c>
      <c r="W717">
        <v>0</v>
      </c>
      <c r="X717">
        <v>0</v>
      </c>
      <c r="Y717" s="20">
        <f>SUM(Table1[[#This Row],[dty_type_cnt1]:[dty_type_cnt5]])</f>
        <v>2</v>
      </c>
    </row>
    <row r="718" spans="1:25" x14ac:dyDescent="0.25">
      <c r="A718" s="15">
        <v>46103</v>
      </c>
      <c r="B718" t="s">
        <v>430</v>
      </c>
      <c r="C718" t="s">
        <v>256</v>
      </c>
      <c r="D718" t="s">
        <v>46</v>
      </c>
      <c r="E718" t="s">
        <v>420</v>
      </c>
      <c r="F718" t="s">
        <v>421</v>
      </c>
      <c r="G718" t="s">
        <v>258</v>
      </c>
      <c r="H718" t="s">
        <v>259</v>
      </c>
      <c r="J718" t="s">
        <v>156</v>
      </c>
      <c r="K718" t="s">
        <v>59</v>
      </c>
      <c r="L718">
        <v>27455</v>
      </c>
      <c r="M718">
        <v>17</v>
      </c>
      <c r="N718">
        <v>22</v>
      </c>
      <c r="O718">
        <v>166.31100000000001</v>
      </c>
      <c r="P718">
        <v>247.7</v>
      </c>
      <c r="Q718">
        <v>0</v>
      </c>
      <c r="R718">
        <v>0</v>
      </c>
      <c r="S718" t="s">
        <v>116</v>
      </c>
      <c r="T718">
        <v>4</v>
      </c>
      <c r="U718">
        <v>4</v>
      </c>
      <c r="V718">
        <v>0</v>
      </c>
      <c r="W718">
        <v>0</v>
      </c>
      <c r="X718">
        <v>0</v>
      </c>
      <c r="Y718" s="20">
        <f>SUM(Table1[[#This Row],[dty_type_cnt1]:[dty_type_cnt5]])</f>
        <v>8</v>
      </c>
    </row>
    <row r="719" spans="1:25" x14ac:dyDescent="0.25">
      <c r="A719" s="15">
        <v>46103</v>
      </c>
      <c r="B719" t="s">
        <v>430</v>
      </c>
      <c r="C719" t="s">
        <v>256</v>
      </c>
      <c r="D719" t="s">
        <v>46</v>
      </c>
      <c r="E719">
        <v>91</v>
      </c>
      <c r="F719" t="s">
        <v>260</v>
      </c>
      <c r="G719" t="s">
        <v>258</v>
      </c>
      <c r="H719" t="s">
        <v>259</v>
      </c>
      <c r="J719" t="s">
        <v>156</v>
      </c>
      <c r="K719" t="s">
        <v>59</v>
      </c>
      <c r="L719">
        <v>27455</v>
      </c>
      <c r="M719">
        <v>45</v>
      </c>
      <c r="N719">
        <v>16</v>
      </c>
      <c r="O719">
        <v>1379.385</v>
      </c>
      <c r="P719">
        <v>246.6</v>
      </c>
      <c r="Q719">
        <v>15</v>
      </c>
      <c r="R719">
        <v>6</v>
      </c>
      <c r="S719" t="s">
        <v>116</v>
      </c>
      <c r="T719">
        <v>5</v>
      </c>
      <c r="U719">
        <v>3</v>
      </c>
      <c r="V719">
        <v>3</v>
      </c>
      <c r="W719">
        <v>0</v>
      </c>
      <c r="X719">
        <v>0</v>
      </c>
      <c r="Y719" s="20">
        <f>SUM(Table1[[#This Row],[dty_type_cnt1]:[dty_type_cnt5]])</f>
        <v>11</v>
      </c>
    </row>
    <row r="720" spans="1:25" x14ac:dyDescent="0.25">
      <c r="A720" s="15">
        <v>46103</v>
      </c>
      <c r="B720" t="s">
        <v>430</v>
      </c>
      <c r="C720" t="s">
        <v>256</v>
      </c>
      <c r="D720" t="s">
        <v>46</v>
      </c>
      <c r="E720">
        <v>93</v>
      </c>
      <c r="F720" t="s">
        <v>276</v>
      </c>
      <c r="G720" t="s">
        <v>258</v>
      </c>
      <c r="H720" t="s">
        <v>259</v>
      </c>
      <c r="J720" t="s">
        <v>156</v>
      </c>
      <c r="K720" t="s">
        <v>59</v>
      </c>
      <c r="L720">
        <v>27455</v>
      </c>
      <c r="M720">
        <v>58</v>
      </c>
      <c r="N720">
        <v>14</v>
      </c>
      <c r="O720">
        <v>1379.93</v>
      </c>
      <c r="P720">
        <v>131.80000000000001</v>
      </c>
      <c r="Q720">
        <v>30</v>
      </c>
      <c r="R720">
        <v>7</v>
      </c>
      <c r="S720" t="s">
        <v>116</v>
      </c>
      <c r="T720">
        <v>7</v>
      </c>
      <c r="U720">
        <v>7</v>
      </c>
      <c r="V720">
        <v>0</v>
      </c>
      <c r="W720">
        <v>0</v>
      </c>
      <c r="X720">
        <v>0</v>
      </c>
      <c r="Y720" s="20">
        <f>SUM(Table1[[#This Row],[dty_type_cnt1]:[dty_type_cnt5]])</f>
        <v>14</v>
      </c>
    </row>
    <row r="721" spans="1:25" x14ac:dyDescent="0.25">
      <c r="A721" s="15">
        <v>46103</v>
      </c>
      <c r="B721" t="s">
        <v>430</v>
      </c>
      <c r="C721" t="s">
        <v>256</v>
      </c>
      <c r="D721" t="s">
        <v>46</v>
      </c>
      <c r="E721" t="s">
        <v>422</v>
      </c>
      <c r="F721" t="s">
        <v>423</v>
      </c>
      <c r="G721" t="s">
        <v>258</v>
      </c>
      <c r="H721" t="s">
        <v>259</v>
      </c>
      <c r="J721" t="s">
        <v>156</v>
      </c>
      <c r="K721" t="s">
        <v>59</v>
      </c>
      <c r="L721">
        <v>27455</v>
      </c>
      <c r="M721">
        <v>17</v>
      </c>
      <c r="N721">
        <v>22</v>
      </c>
      <c r="O721">
        <v>203.49</v>
      </c>
      <c r="P721">
        <v>297.7</v>
      </c>
      <c r="Q721">
        <v>10</v>
      </c>
      <c r="R721">
        <v>5</v>
      </c>
      <c r="S721" t="s">
        <v>116</v>
      </c>
      <c r="T721">
        <v>5</v>
      </c>
      <c r="U721">
        <v>0</v>
      </c>
      <c r="V721">
        <v>0</v>
      </c>
      <c r="W721">
        <v>0</v>
      </c>
      <c r="X721">
        <v>0</v>
      </c>
      <c r="Y721" s="20">
        <f>SUM(Table1[[#This Row],[dty_type_cnt1]:[dty_type_cnt5]])</f>
        <v>5</v>
      </c>
    </row>
    <row r="722" spans="1:25" x14ac:dyDescent="0.25">
      <c r="A722" s="15">
        <v>46103</v>
      </c>
      <c r="B722" t="s">
        <v>430</v>
      </c>
      <c r="C722" t="s">
        <v>256</v>
      </c>
      <c r="D722" t="s">
        <v>46</v>
      </c>
      <c r="E722" t="s">
        <v>424</v>
      </c>
      <c r="F722" t="s">
        <v>425</v>
      </c>
      <c r="G722" t="s">
        <v>258</v>
      </c>
      <c r="H722" t="s">
        <v>259</v>
      </c>
      <c r="J722" t="s">
        <v>156</v>
      </c>
      <c r="K722" t="s">
        <v>59</v>
      </c>
      <c r="L722">
        <v>27455</v>
      </c>
      <c r="M722">
        <v>12</v>
      </c>
      <c r="N722">
        <v>17</v>
      </c>
      <c r="O722">
        <v>143.904</v>
      </c>
      <c r="P722">
        <v>200</v>
      </c>
      <c r="Q722">
        <v>0</v>
      </c>
      <c r="R722">
        <v>0</v>
      </c>
      <c r="S722" t="s">
        <v>116</v>
      </c>
      <c r="T722">
        <v>0</v>
      </c>
      <c r="U722">
        <v>5</v>
      </c>
      <c r="V722">
        <v>0</v>
      </c>
      <c r="W722">
        <v>0</v>
      </c>
      <c r="X722">
        <v>0</v>
      </c>
      <c r="Y722" s="20">
        <f>SUM(Table1[[#This Row],[dty_type_cnt1]:[dty_type_cnt5]])</f>
        <v>5</v>
      </c>
    </row>
    <row r="723" spans="1:25" x14ac:dyDescent="0.25">
      <c r="A723" s="15">
        <v>46103</v>
      </c>
      <c r="B723" t="s">
        <v>430</v>
      </c>
      <c r="C723" t="s">
        <v>256</v>
      </c>
      <c r="D723" t="s">
        <v>46</v>
      </c>
      <c r="E723">
        <v>96</v>
      </c>
      <c r="F723" t="s">
        <v>167</v>
      </c>
      <c r="G723" t="s">
        <v>258</v>
      </c>
      <c r="H723" t="s">
        <v>259</v>
      </c>
      <c r="J723" t="s">
        <v>156</v>
      </c>
      <c r="K723" t="s">
        <v>59</v>
      </c>
      <c r="L723">
        <v>27455</v>
      </c>
      <c r="M723">
        <v>49</v>
      </c>
      <c r="N723">
        <v>12</v>
      </c>
      <c r="O723">
        <v>2458.473</v>
      </c>
      <c r="P723">
        <v>118.1</v>
      </c>
      <c r="Q723">
        <v>30</v>
      </c>
      <c r="R723">
        <v>6</v>
      </c>
      <c r="S723" t="s">
        <v>116</v>
      </c>
      <c r="T723">
        <v>5</v>
      </c>
      <c r="U723">
        <v>6</v>
      </c>
      <c r="V723">
        <v>1</v>
      </c>
      <c r="W723">
        <v>0</v>
      </c>
      <c r="X723">
        <v>0</v>
      </c>
      <c r="Y723" s="20">
        <f>SUM(Table1[[#This Row],[dty_type_cnt1]:[dty_type_cnt5]])</f>
        <v>12</v>
      </c>
    </row>
    <row r="724" spans="1:25" x14ac:dyDescent="0.25">
      <c r="A724" s="15">
        <v>46103</v>
      </c>
      <c r="B724" t="s">
        <v>430</v>
      </c>
      <c r="C724" t="s">
        <v>256</v>
      </c>
      <c r="D724" t="s">
        <v>46</v>
      </c>
      <c r="E724" t="s">
        <v>277</v>
      </c>
      <c r="F724" t="s">
        <v>278</v>
      </c>
      <c r="G724" t="s">
        <v>258</v>
      </c>
      <c r="H724" t="s">
        <v>259</v>
      </c>
      <c r="J724" t="s">
        <v>156</v>
      </c>
      <c r="K724" t="s">
        <v>59</v>
      </c>
      <c r="L724">
        <v>27455</v>
      </c>
      <c r="M724">
        <v>28</v>
      </c>
      <c r="N724">
        <v>10</v>
      </c>
      <c r="O724">
        <v>889.01199999999994</v>
      </c>
      <c r="P724">
        <v>54.2</v>
      </c>
      <c r="Q724">
        <v>30</v>
      </c>
      <c r="R724">
        <v>3</v>
      </c>
      <c r="S724" t="s">
        <v>116</v>
      </c>
      <c r="T724">
        <v>2</v>
      </c>
      <c r="U724">
        <v>0</v>
      </c>
      <c r="V724">
        <v>0</v>
      </c>
      <c r="W724">
        <v>0</v>
      </c>
      <c r="X724">
        <v>0</v>
      </c>
      <c r="Y724" s="20">
        <f>SUM(Table1[[#This Row],[dty_type_cnt1]:[dty_type_cnt5]])</f>
        <v>2</v>
      </c>
    </row>
    <row r="725" spans="1:25" x14ac:dyDescent="0.25">
      <c r="A725" s="15">
        <v>46104</v>
      </c>
      <c r="B725" t="s">
        <v>430</v>
      </c>
      <c r="C725" t="s">
        <v>256</v>
      </c>
      <c r="D725" t="s">
        <v>46</v>
      </c>
      <c r="E725" t="s">
        <v>56</v>
      </c>
      <c r="F725" t="s">
        <v>57</v>
      </c>
      <c r="G725" t="s">
        <v>258</v>
      </c>
      <c r="H725" t="s">
        <v>259</v>
      </c>
      <c r="J725" t="s">
        <v>0</v>
      </c>
      <c r="K725" t="s">
        <v>59</v>
      </c>
      <c r="L725">
        <v>27455</v>
      </c>
      <c r="M725">
        <v>10</v>
      </c>
      <c r="N725">
        <v>2</v>
      </c>
      <c r="O725">
        <v>173.459</v>
      </c>
      <c r="P725">
        <v>6.5</v>
      </c>
      <c r="Q725">
        <v>60</v>
      </c>
      <c r="R725">
        <v>1</v>
      </c>
      <c r="S725" t="s">
        <v>116</v>
      </c>
      <c r="T725">
        <v>1</v>
      </c>
      <c r="U725">
        <v>1</v>
      </c>
      <c r="V725">
        <v>0</v>
      </c>
      <c r="W725">
        <v>0</v>
      </c>
      <c r="X725">
        <v>0</v>
      </c>
      <c r="Y725" s="20">
        <f>SUM(Table1[[#This Row],[dty_type_cnt1]:[dty_type_cnt5]])</f>
        <v>2</v>
      </c>
    </row>
    <row r="726" spans="1:25" x14ac:dyDescent="0.25">
      <c r="A726" s="15">
        <v>46104</v>
      </c>
      <c r="B726" t="s">
        <v>430</v>
      </c>
      <c r="C726" t="s">
        <v>256</v>
      </c>
      <c r="D726" t="s">
        <v>46</v>
      </c>
      <c r="E726" t="s">
        <v>77</v>
      </c>
      <c r="F726" t="s">
        <v>78</v>
      </c>
      <c r="G726" t="s">
        <v>258</v>
      </c>
      <c r="H726" t="s">
        <v>259</v>
      </c>
      <c r="J726" t="s">
        <v>0</v>
      </c>
      <c r="K726" t="s">
        <v>59</v>
      </c>
      <c r="L726">
        <v>27455</v>
      </c>
      <c r="M726">
        <v>66</v>
      </c>
      <c r="N726">
        <v>12</v>
      </c>
      <c r="O726">
        <v>1078.7380000000001</v>
      </c>
      <c r="P726">
        <v>17.600000000000001</v>
      </c>
      <c r="Q726">
        <v>30</v>
      </c>
      <c r="R726">
        <v>6</v>
      </c>
      <c r="S726" t="s">
        <v>116</v>
      </c>
      <c r="T726">
        <v>6</v>
      </c>
      <c r="U726">
        <v>6</v>
      </c>
      <c r="V726">
        <v>0</v>
      </c>
      <c r="W726">
        <v>0</v>
      </c>
      <c r="X726">
        <v>0</v>
      </c>
      <c r="Y726" s="20">
        <f>SUM(Table1[[#This Row],[dty_type_cnt1]:[dty_type_cnt5]])</f>
        <v>12</v>
      </c>
    </row>
    <row r="727" spans="1:25" x14ac:dyDescent="0.25">
      <c r="A727" s="15">
        <v>46104</v>
      </c>
      <c r="B727" t="s">
        <v>430</v>
      </c>
      <c r="C727" t="s">
        <v>256</v>
      </c>
      <c r="D727" t="s">
        <v>46</v>
      </c>
      <c r="E727" t="s">
        <v>50</v>
      </c>
      <c r="F727" t="s">
        <v>51</v>
      </c>
      <c r="G727" t="s">
        <v>258</v>
      </c>
      <c r="H727" t="s">
        <v>259</v>
      </c>
      <c r="J727" t="s">
        <v>0</v>
      </c>
      <c r="K727" t="s">
        <v>59</v>
      </c>
      <c r="L727">
        <v>27455</v>
      </c>
      <c r="M727">
        <v>30</v>
      </c>
      <c r="N727">
        <v>6</v>
      </c>
      <c r="O727">
        <v>676.54499999999996</v>
      </c>
      <c r="P727">
        <v>0.6</v>
      </c>
      <c r="Q727">
        <v>30</v>
      </c>
      <c r="R727">
        <v>3</v>
      </c>
      <c r="S727" t="s">
        <v>116</v>
      </c>
      <c r="T727">
        <v>3</v>
      </c>
      <c r="U727">
        <v>3</v>
      </c>
      <c r="V727">
        <v>0</v>
      </c>
      <c r="W727">
        <v>0</v>
      </c>
      <c r="X727">
        <v>0</v>
      </c>
      <c r="Y727" s="20">
        <f>SUM(Table1[[#This Row],[dty_type_cnt1]:[dty_type_cnt5]])</f>
        <v>6</v>
      </c>
    </row>
    <row r="728" spans="1:25" x14ac:dyDescent="0.25">
      <c r="A728" s="15">
        <v>46104</v>
      </c>
      <c r="B728" t="s">
        <v>430</v>
      </c>
      <c r="C728" t="s">
        <v>256</v>
      </c>
      <c r="D728" t="s">
        <v>46</v>
      </c>
      <c r="E728" t="s">
        <v>52</v>
      </c>
      <c r="F728" t="s">
        <v>53</v>
      </c>
      <c r="G728" t="s">
        <v>258</v>
      </c>
      <c r="H728" t="s">
        <v>259</v>
      </c>
      <c r="J728" t="s">
        <v>0</v>
      </c>
      <c r="K728" t="s">
        <v>59</v>
      </c>
      <c r="L728">
        <v>27455</v>
      </c>
      <c r="M728">
        <v>20</v>
      </c>
      <c r="N728">
        <v>4</v>
      </c>
      <c r="O728">
        <v>474.79500000000002</v>
      </c>
      <c r="P728">
        <v>20.8</v>
      </c>
      <c r="Q728">
        <v>20</v>
      </c>
      <c r="R728">
        <v>2</v>
      </c>
      <c r="S728" t="s">
        <v>116</v>
      </c>
      <c r="T728">
        <v>2</v>
      </c>
      <c r="U728">
        <v>2</v>
      </c>
      <c r="V728">
        <v>0</v>
      </c>
      <c r="W728">
        <v>0</v>
      </c>
      <c r="X728">
        <v>0</v>
      </c>
      <c r="Y728" s="20">
        <f>SUM(Table1[[#This Row],[dty_type_cnt1]:[dty_type_cnt5]])</f>
        <v>4</v>
      </c>
    </row>
    <row r="729" spans="1:25" x14ac:dyDescent="0.25">
      <c r="A729" s="15">
        <v>46104</v>
      </c>
      <c r="B729" t="s">
        <v>430</v>
      </c>
      <c r="C729" t="s">
        <v>256</v>
      </c>
      <c r="D729" t="s">
        <v>46</v>
      </c>
      <c r="E729" t="s">
        <v>124</v>
      </c>
      <c r="F729" t="s">
        <v>125</v>
      </c>
      <c r="G729" t="s">
        <v>258</v>
      </c>
      <c r="H729" t="s">
        <v>259</v>
      </c>
      <c r="J729" t="s">
        <v>0</v>
      </c>
      <c r="K729" t="s">
        <v>59</v>
      </c>
      <c r="L729">
        <v>27455</v>
      </c>
      <c r="M729">
        <v>10</v>
      </c>
      <c r="N729">
        <v>2</v>
      </c>
      <c r="O729">
        <v>204.964</v>
      </c>
      <c r="P729">
        <v>0.2</v>
      </c>
      <c r="Q729">
        <v>35</v>
      </c>
      <c r="R729">
        <v>1</v>
      </c>
      <c r="S729" t="s">
        <v>116</v>
      </c>
      <c r="T729">
        <v>1</v>
      </c>
      <c r="U729">
        <v>1</v>
      </c>
      <c r="V729">
        <v>0</v>
      </c>
      <c r="W729">
        <v>0</v>
      </c>
      <c r="X729">
        <v>0</v>
      </c>
      <c r="Y729" s="20">
        <f>SUM(Table1[[#This Row],[dty_type_cnt1]:[dty_type_cnt5]])</f>
        <v>2</v>
      </c>
    </row>
    <row r="730" spans="1:25" x14ac:dyDescent="0.25">
      <c r="A730" s="15">
        <v>46104</v>
      </c>
      <c r="B730" t="s">
        <v>430</v>
      </c>
      <c r="C730" t="s">
        <v>256</v>
      </c>
      <c r="D730" t="s">
        <v>46</v>
      </c>
      <c r="E730" t="s">
        <v>240</v>
      </c>
      <c r="F730" t="s">
        <v>241</v>
      </c>
      <c r="G730" t="s">
        <v>258</v>
      </c>
      <c r="H730" t="s">
        <v>259</v>
      </c>
      <c r="J730" t="s">
        <v>0</v>
      </c>
      <c r="K730" t="s">
        <v>59</v>
      </c>
      <c r="L730">
        <v>27455</v>
      </c>
      <c r="M730">
        <v>18</v>
      </c>
      <c r="N730">
        <v>4</v>
      </c>
      <c r="O730">
        <v>429.26400000000001</v>
      </c>
      <c r="P730">
        <v>8.6</v>
      </c>
      <c r="Q730">
        <v>20</v>
      </c>
      <c r="R730">
        <v>2</v>
      </c>
      <c r="S730" t="s">
        <v>116</v>
      </c>
      <c r="T730">
        <v>2</v>
      </c>
      <c r="U730">
        <v>2</v>
      </c>
      <c r="V730">
        <v>0</v>
      </c>
      <c r="W730">
        <v>0</v>
      </c>
      <c r="X730">
        <v>0</v>
      </c>
      <c r="Y730" s="20">
        <f>SUM(Table1[[#This Row],[dty_type_cnt1]:[dty_type_cnt5]])</f>
        <v>4</v>
      </c>
    </row>
    <row r="731" spans="1:25" x14ac:dyDescent="0.25">
      <c r="A731" s="15">
        <v>46104</v>
      </c>
      <c r="B731" t="s">
        <v>430</v>
      </c>
      <c r="C731" t="s">
        <v>256</v>
      </c>
      <c r="D731" t="s">
        <v>55</v>
      </c>
      <c r="E731" t="s">
        <v>279</v>
      </c>
      <c r="F731" t="s">
        <v>280</v>
      </c>
      <c r="G731" t="s">
        <v>258</v>
      </c>
      <c r="H731" t="s">
        <v>259</v>
      </c>
      <c r="J731" t="s">
        <v>156</v>
      </c>
      <c r="K731" t="s">
        <v>59</v>
      </c>
      <c r="L731">
        <v>27455</v>
      </c>
      <c r="M731">
        <v>16</v>
      </c>
      <c r="N731">
        <v>2</v>
      </c>
      <c r="O731">
        <v>333.13600000000002</v>
      </c>
      <c r="P731">
        <v>13.1</v>
      </c>
      <c r="Q731">
        <v>60</v>
      </c>
      <c r="R731">
        <v>1</v>
      </c>
      <c r="S731" t="s">
        <v>116</v>
      </c>
      <c r="T731">
        <v>1</v>
      </c>
      <c r="U731">
        <v>1</v>
      </c>
      <c r="V731">
        <v>0</v>
      </c>
      <c r="W731">
        <v>0</v>
      </c>
      <c r="X731">
        <v>0</v>
      </c>
      <c r="Y731" s="20">
        <f>SUM(Table1[[#This Row],[dty_type_cnt1]:[dty_type_cnt5]])</f>
        <v>2</v>
      </c>
    </row>
    <row r="732" spans="1:25" x14ac:dyDescent="0.25">
      <c r="A732" s="15">
        <v>46104</v>
      </c>
      <c r="B732" t="s">
        <v>430</v>
      </c>
      <c r="C732" t="s">
        <v>256</v>
      </c>
      <c r="D732" t="s">
        <v>54</v>
      </c>
      <c r="E732" t="s">
        <v>281</v>
      </c>
      <c r="F732" t="s">
        <v>282</v>
      </c>
      <c r="G732" t="s">
        <v>258</v>
      </c>
      <c r="H732" t="s">
        <v>259</v>
      </c>
      <c r="J732" t="s">
        <v>156</v>
      </c>
      <c r="K732" t="s">
        <v>59</v>
      </c>
      <c r="L732">
        <v>27455</v>
      </c>
      <c r="M732">
        <v>45</v>
      </c>
      <c r="N732">
        <v>13</v>
      </c>
      <c r="O732">
        <v>557.45699999999999</v>
      </c>
      <c r="P732">
        <v>153.69999999999999</v>
      </c>
      <c r="Q732">
        <v>30</v>
      </c>
      <c r="R732">
        <v>4</v>
      </c>
      <c r="S732" t="s">
        <v>116</v>
      </c>
      <c r="T732">
        <v>4</v>
      </c>
      <c r="U732">
        <v>2</v>
      </c>
      <c r="V732">
        <v>1</v>
      </c>
      <c r="W732">
        <v>0</v>
      </c>
      <c r="X732">
        <v>0</v>
      </c>
      <c r="Y732" s="20">
        <f>SUM(Table1[[#This Row],[dty_type_cnt1]:[dty_type_cnt5]])</f>
        <v>7</v>
      </c>
    </row>
    <row r="733" spans="1:25" x14ac:dyDescent="0.25">
      <c r="A733" s="15">
        <v>46104</v>
      </c>
      <c r="B733" t="s">
        <v>430</v>
      </c>
      <c r="C733" t="s">
        <v>256</v>
      </c>
      <c r="D733" t="s">
        <v>54</v>
      </c>
      <c r="E733" t="s">
        <v>283</v>
      </c>
      <c r="F733" t="s">
        <v>284</v>
      </c>
      <c r="G733" t="s">
        <v>258</v>
      </c>
      <c r="H733" t="s">
        <v>259</v>
      </c>
      <c r="J733" t="s">
        <v>156</v>
      </c>
      <c r="K733" t="s">
        <v>59</v>
      </c>
      <c r="L733">
        <v>27455</v>
      </c>
      <c r="M733">
        <v>69</v>
      </c>
      <c r="N733">
        <v>12</v>
      </c>
      <c r="O733">
        <v>620.91800000000001</v>
      </c>
      <c r="P733">
        <v>118.6</v>
      </c>
      <c r="Q733">
        <v>15</v>
      </c>
      <c r="R733">
        <v>5</v>
      </c>
      <c r="S733" t="s">
        <v>116</v>
      </c>
      <c r="T733">
        <v>4</v>
      </c>
      <c r="U733">
        <v>5</v>
      </c>
      <c r="V733">
        <v>0</v>
      </c>
      <c r="W733">
        <v>0</v>
      </c>
      <c r="X733">
        <v>0</v>
      </c>
      <c r="Y733" s="20">
        <f>SUM(Table1[[#This Row],[dty_type_cnt1]:[dty_type_cnt5]])</f>
        <v>9</v>
      </c>
    </row>
    <row r="734" spans="1:25" x14ac:dyDescent="0.25">
      <c r="A734" s="15">
        <v>46104</v>
      </c>
      <c r="B734" t="s">
        <v>430</v>
      </c>
      <c r="C734" t="s">
        <v>256</v>
      </c>
      <c r="D734" t="s">
        <v>54</v>
      </c>
      <c r="E734" t="s">
        <v>285</v>
      </c>
      <c r="F734" t="s">
        <v>286</v>
      </c>
      <c r="G734" t="s">
        <v>258</v>
      </c>
      <c r="H734" t="s">
        <v>259</v>
      </c>
      <c r="J734" t="s">
        <v>156</v>
      </c>
      <c r="K734" t="s">
        <v>59</v>
      </c>
      <c r="L734">
        <v>27455</v>
      </c>
      <c r="M734">
        <v>53</v>
      </c>
      <c r="N734">
        <v>8</v>
      </c>
      <c r="O734">
        <v>789.21799999999996</v>
      </c>
      <c r="P734">
        <v>88.4</v>
      </c>
      <c r="Q734">
        <v>20</v>
      </c>
      <c r="R734">
        <v>3</v>
      </c>
      <c r="S734" t="s">
        <v>116</v>
      </c>
      <c r="T734">
        <v>3</v>
      </c>
      <c r="U734">
        <v>4</v>
      </c>
      <c r="V734">
        <v>0</v>
      </c>
      <c r="W734">
        <v>0</v>
      </c>
      <c r="X734">
        <v>0</v>
      </c>
      <c r="Y734" s="20">
        <f>SUM(Table1[[#This Row],[dty_type_cnt1]:[dty_type_cnt5]])</f>
        <v>7</v>
      </c>
    </row>
    <row r="735" spans="1:25" x14ac:dyDescent="0.25">
      <c r="A735" s="15">
        <v>46104</v>
      </c>
      <c r="B735" t="s">
        <v>430</v>
      </c>
      <c r="C735" t="s">
        <v>256</v>
      </c>
      <c r="D735" t="s">
        <v>54</v>
      </c>
      <c r="E735" t="s">
        <v>287</v>
      </c>
      <c r="F735" t="s">
        <v>288</v>
      </c>
      <c r="G735" t="s">
        <v>258</v>
      </c>
      <c r="H735" t="s">
        <v>259</v>
      </c>
      <c r="J735" t="s">
        <v>156</v>
      </c>
      <c r="K735" t="s">
        <v>59</v>
      </c>
      <c r="L735">
        <v>27455</v>
      </c>
      <c r="M735">
        <v>65</v>
      </c>
      <c r="N735">
        <v>14</v>
      </c>
      <c r="O735">
        <v>907.42399999999998</v>
      </c>
      <c r="P735">
        <v>74.3</v>
      </c>
      <c r="Q735">
        <v>8</v>
      </c>
      <c r="R735">
        <v>6</v>
      </c>
      <c r="S735" t="s">
        <v>116</v>
      </c>
      <c r="T735">
        <v>5</v>
      </c>
      <c r="U735">
        <v>5</v>
      </c>
      <c r="V735">
        <v>1</v>
      </c>
      <c r="W735">
        <v>0</v>
      </c>
      <c r="X735">
        <v>0</v>
      </c>
      <c r="Y735" s="20">
        <f>SUM(Table1[[#This Row],[dty_type_cnt1]:[dty_type_cnt5]])</f>
        <v>11</v>
      </c>
    </row>
    <row r="736" spans="1:25" x14ac:dyDescent="0.25">
      <c r="A736" s="15">
        <v>46104</v>
      </c>
      <c r="B736" t="s">
        <v>430</v>
      </c>
      <c r="C736" t="s">
        <v>256</v>
      </c>
      <c r="D736" t="s">
        <v>54</v>
      </c>
      <c r="E736" t="s">
        <v>289</v>
      </c>
      <c r="F736" t="s">
        <v>290</v>
      </c>
      <c r="G736" t="s">
        <v>258</v>
      </c>
      <c r="H736" t="s">
        <v>259</v>
      </c>
      <c r="J736" t="s">
        <v>156</v>
      </c>
      <c r="K736" t="s">
        <v>59</v>
      </c>
      <c r="L736">
        <v>27455</v>
      </c>
      <c r="M736">
        <v>77</v>
      </c>
      <c r="N736">
        <v>12</v>
      </c>
      <c r="O736">
        <v>673.44200000000001</v>
      </c>
      <c r="P736">
        <v>59.2</v>
      </c>
      <c r="Q736">
        <v>12</v>
      </c>
      <c r="R736">
        <v>4</v>
      </c>
      <c r="S736" t="s">
        <v>116</v>
      </c>
      <c r="T736">
        <v>4</v>
      </c>
      <c r="U736">
        <v>4</v>
      </c>
      <c r="V736">
        <v>0</v>
      </c>
      <c r="W736">
        <v>0</v>
      </c>
      <c r="X736">
        <v>0</v>
      </c>
      <c r="Y736" s="20">
        <f>SUM(Table1[[#This Row],[dty_type_cnt1]:[dty_type_cnt5]])</f>
        <v>8</v>
      </c>
    </row>
    <row r="737" spans="1:25" x14ac:dyDescent="0.25">
      <c r="A737" s="15">
        <v>46104</v>
      </c>
      <c r="B737" t="s">
        <v>430</v>
      </c>
      <c r="C737" t="s">
        <v>256</v>
      </c>
      <c r="D737" t="s">
        <v>54</v>
      </c>
      <c r="E737" t="s">
        <v>291</v>
      </c>
      <c r="F737" t="s">
        <v>292</v>
      </c>
      <c r="G737" t="s">
        <v>258</v>
      </c>
      <c r="H737" t="s">
        <v>259</v>
      </c>
      <c r="J737" t="s">
        <v>156</v>
      </c>
      <c r="K737" t="s">
        <v>59</v>
      </c>
      <c r="L737">
        <v>27455</v>
      </c>
      <c r="M737">
        <v>31</v>
      </c>
      <c r="N737">
        <v>4</v>
      </c>
      <c r="O737">
        <v>560.899</v>
      </c>
      <c r="P737">
        <v>47.8</v>
      </c>
      <c r="Q737">
        <v>30</v>
      </c>
      <c r="R737">
        <v>2</v>
      </c>
      <c r="S737" t="s">
        <v>116</v>
      </c>
      <c r="T737">
        <v>3</v>
      </c>
      <c r="U737">
        <v>1</v>
      </c>
      <c r="V737">
        <v>0</v>
      </c>
      <c r="W737">
        <v>0</v>
      </c>
      <c r="X737">
        <v>0</v>
      </c>
      <c r="Y737" s="20">
        <f>SUM(Table1[[#This Row],[dty_type_cnt1]:[dty_type_cnt5]])</f>
        <v>4</v>
      </c>
    </row>
    <row r="738" spans="1:25" x14ac:dyDescent="0.25">
      <c r="A738" s="15">
        <v>46104</v>
      </c>
      <c r="B738" t="s">
        <v>430</v>
      </c>
      <c r="C738" t="s">
        <v>256</v>
      </c>
      <c r="D738" t="s">
        <v>54</v>
      </c>
      <c r="E738" t="s">
        <v>293</v>
      </c>
      <c r="F738" t="s">
        <v>294</v>
      </c>
      <c r="G738" t="s">
        <v>258</v>
      </c>
      <c r="H738" t="s">
        <v>259</v>
      </c>
      <c r="J738" t="s">
        <v>156</v>
      </c>
      <c r="K738" t="s">
        <v>59</v>
      </c>
      <c r="L738">
        <v>27455</v>
      </c>
      <c r="M738">
        <v>100</v>
      </c>
      <c r="N738">
        <v>27</v>
      </c>
      <c r="O738">
        <v>2020.3</v>
      </c>
      <c r="P738">
        <v>154.5</v>
      </c>
      <c r="Q738">
        <v>20</v>
      </c>
      <c r="R738">
        <v>13</v>
      </c>
      <c r="S738" t="s">
        <v>116</v>
      </c>
      <c r="T738">
        <v>11</v>
      </c>
      <c r="U738">
        <v>12</v>
      </c>
      <c r="V738">
        <v>0</v>
      </c>
      <c r="W738">
        <v>0</v>
      </c>
      <c r="X738">
        <v>0</v>
      </c>
      <c r="Y738" s="20">
        <f>SUM(Table1[[#This Row],[dty_type_cnt1]:[dty_type_cnt5]])</f>
        <v>23</v>
      </c>
    </row>
    <row r="739" spans="1:25" x14ac:dyDescent="0.25">
      <c r="A739" s="15">
        <v>46104</v>
      </c>
      <c r="B739" t="s">
        <v>430</v>
      </c>
      <c r="C739" t="s">
        <v>256</v>
      </c>
      <c r="D739" t="s">
        <v>54</v>
      </c>
      <c r="E739" t="s">
        <v>295</v>
      </c>
      <c r="F739" t="s">
        <v>296</v>
      </c>
      <c r="G739" t="s">
        <v>258</v>
      </c>
      <c r="H739" t="s">
        <v>259</v>
      </c>
      <c r="J739" t="s">
        <v>156</v>
      </c>
      <c r="K739" t="s">
        <v>59</v>
      </c>
      <c r="L739">
        <v>27455</v>
      </c>
      <c r="M739">
        <v>75</v>
      </c>
      <c r="N739">
        <v>12</v>
      </c>
      <c r="O739">
        <v>1243.8320000000001</v>
      </c>
      <c r="P739">
        <v>56.3</v>
      </c>
      <c r="Q739">
        <v>30</v>
      </c>
      <c r="R739">
        <v>6</v>
      </c>
      <c r="S739" t="s">
        <v>116</v>
      </c>
      <c r="T739">
        <v>6</v>
      </c>
      <c r="U739">
        <v>6</v>
      </c>
      <c r="V739">
        <v>0</v>
      </c>
      <c r="W739">
        <v>0</v>
      </c>
      <c r="X739">
        <v>0</v>
      </c>
      <c r="Y739" s="20">
        <f>SUM(Table1[[#This Row],[dty_type_cnt1]:[dty_type_cnt5]])</f>
        <v>12</v>
      </c>
    </row>
    <row r="740" spans="1:25" x14ac:dyDescent="0.25">
      <c r="A740" s="15">
        <v>46104</v>
      </c>
      <c r="B740" t="s">
        <v>430</v>
      </c>
      <c r="C740" t="s">
        <v>256</v>
      </c>
      <c r="D740" t="s">
        <v>54</v>
      </c>
      <c r="E740" t="s">
        <v>400</v>
      </c>
      <c r="F740" t="s">
        <v>401</v>
      </c>
      <c r="G740" t="s">
        <v>258</v>
      </c>
      <c r="H740" t="s">
        <v>259</v>
      </c>
      <c r="J740" t="s">
        <v>0</v>
      </c>
      <c r="K740" t="s">
        <v>59</v>
      </c>
      <c r="L740">
        <v>27455</v>
      </c>
      <c r="M740">
        <v>45</v>
      </c>
      <c r="N740">
        <v>4</v>
      </c>
      <c r="O740">
        <v>402.48</v>
      </c>
      <c r="P740">
        <v>0.4</v>
      </c>
      <c r="Q740">
        <v>15</v>
      </c>
      <c r="R740">
        <v>2</v>
      </c>
      <c r="S740" t="s">
        <v>116</v>
      </c>
      <c r="T740">
        <v>2</v>
      </c>
      <c r="U740">
        <v>2</v>
      </c>
      <c r="V740">
        <v>0</v>
      </c>
      <c r="W740">
        <v>0</v>
      </c>
      <c r="X740">
        <v>0</v>
      </c>
      <c r="Y740" s="20">
        <f>SUM(Table1[[#This Row],[dty_type_cnt1]:[dty_type_cnt5]])</f>
        <v>4</v>
      </c>
    </row>
    <row r="741" spans="1:25" x14ac:dyDescent="0.25">
      <c r="A741" s="15">
        <v>46104</v>
      </c>
      <c r="B741" t="s">
        <v>430</v>
      </c>
      <c r="C741" t="s">
        <v>256</v>
      </c>
      <c r="D741" t="s">
        <v>54</v>
      </c>
      <c r="E741" t="s">
        <v>297</v>
      </c>
      <c r="F741" t="s">
        <v>298</v>
      </c>
      <c r="G741" t="s">
        <v>258</v>
      </c>
      <c r="H741" t="s">
        <v>259</v>
      </c>
      <c r="J741" t="s">
        <v>156</v>
      </c>
      <c r="K741" t="s">
        <v>59</v>
      </c>
      <c r="L741">
        <v>27455</v>
      </c>
      <c r="M741">
        <v>43</v>
      </c>
      <c r="N741">
        <v>8</v>
      </c>
      <c r="O741">
        <v>552.745</v>
      </c>
      <c r="P741">
        <v>38.78</v>
      </c>
      <c r="Q741">
        <v>20</v>
      </c>
      <c r="R741">
        <v>3</v>
      </c>
      <c r="S741" t="s">
        <v>116</v>
      </c>
      <c r="T741">
        <v>4</v>
      </c>
      <c r="U741">
        <v>2</v>
      </c>
      <c r="V741">
        <v>0</v>
      </c>
      <c r="W741">
        <v>0</v>
      </c>
      <c r="X741">
        <v>0</v>
      </c>
      <c r="Y741" s="20">
        <f>SUM(Table1[[#This Row],[dty_type_cnt1]:[dty_type_cnt5]])</f>
        <v>6</v>
      </c>
    </row>
    <row r="742" spans="1:25" x14ac:dyDescent="0.25">
      <c r="A742" s="15">
        <v>46104</v>
      </c>
      <c r="B742" t="s">
        <v>430</v>
      </c>
      <c r="C742" t="s">
        <v>256</v>
      </c>
      <c r="D742" t="s">
        <v>54</v>
      </c>
      <c r="E742" t="s">
        <v>299</v>
      </c>
      <c r="F742" t="s">
        <v>300</v>
      </c>
      <c r="G742" t="s">
        <v>258</v>
      </c>
      <c r="H742" t="s">
        <v>259</v>
      </c>
      <c r="J742" t="s">
        <v>156</v>
      </c>
      <c r="K742" t="s">
        <v>59</v>
      </c>
      <c r="L742">
        <v>27455</v>
      </c>
      <c r="M742">
        <v>44</v>
      </c>
      <c r="N742">
        <v>9</v>
      </c>
      <c r="O742">
        <v>1192.3040000000001</v>
      </c>
      <c r="P742">
        <v>68.5</v>
      </c>
      <c r="Q742">
        <v>20</v>
      </c>
      <c r="R742">
        <v>5</v>
      </c>
      <c r="S742" t="s">
        <v>116</v>
      </c>
      <c r="T742">
        <v>4</v>
      </c>
      <c r="U742">
        <v>4</v>
      </c>
      <c r="V742">
        <v>0</v>
      </c>
      <c r="W742">
        <v>0</v>
      </c>
      <c r="X742">
        <v>0</v>
      </c>
      <c r="Y742" s="20">
        <f>SUM(Table1[[#This Row],[dty_type_cnt1]:[dty_type_cnt5]])</f>
        <v>8</v>
      </c>
    </row>
    <row r="743" spans="1:25" x14ac:dyDescent="0.25">
      <c r="A743" s="15">
        <v>46104</v>
      </c>
      <c r="B743" t="s">
        <v>430</v>
      </c>
      <c r="C743" t="s">
        <v>256</v>
      </c>
      <c r="D743" t="s">
        <v>54</v>
      </c>
      <c r="E743" t="s">
        <v>301</v>
      </c>
      <c r="F743" t="s">
        <v>302</v>
      </c>
      <c r="G743" t="s">
        <v>258</v>
      </c>
      <c r="H743" t="s">
        <v>259</v>
      </c>
      <c r="J743" t="s">
        <v>156</v>
      </c>
      <c r="K743" t="s">
        <v>59</v>
      </c>
      <c r="L743">
        <v>27455</v>
      </c>
      <c r="M743">
        <v>56</v>
      </c>
      <c r="N743">
        <v>12</v>
      </c>
      <c r="O743">
        <v>2049.009</v>
      </c>
      <c r="P743">
        <v>91.8</v>
      </c>
      <c r="Q743">
        <v>15</v>
      </c>
      <c r="R743">
        <v>4</v>
      </c>
      <c r="S743" t="s">
        <v>116</v>
      </c>
      <c r="T743">
        <v>6</v>
      </c>
      <c r="U743">
        <v>6</v>
      </c>
      <c r="V743">
        <v>0</v>
      </c>
      <c r="W743">
        <v>0</v>
      </c>
      <c r="X743">
        <v>0</v>
      </c>
      <c r="Y743" s="20">
        <f>SUM(Table1[[#This Row],[dty_type_cnt1]:[dty_type_cnt5]])</f>
        <v>12</v>
      </c>
    </row>
    <row r="744" spans="1:25" x14ac:dyDescent="0.25">
      <c r="A744" s="15">
        <v>46104</v>
      </c>
      <c r="B744" t="s">
        <v>430</v>
      </c>
      <c r="C744" t="s">
        <v>256</v>
      </c>
      <c r="D744" t="s">
        <v>54</v>
      </c>
      <c r="E744" t="s">
        <v>303</v>
      </c>
      <c r="F744" t="s">
        <v>304</v>
      </c>
      <c r="G744" t="s">
        <v>258</v>
      </c>
      <c r="H744" t="s">
        <v>259</v>
      </c>
      <c r="J744" t="s">
        <v>156</v>
      </c>
      <c r="K744" t="s">
        <v>59</v>
      </c>
      <c r="L744">
        <v>27455</v>
      </c>
      <c r="M744">
        <v>28</v>
      </c>
      <c r="N744">
        <v>3</v>
      </c>
      <c r="O744">
        <v>486.72399999999999</v>
      </c>
      <c r="P744">
        <v>22.6</v>
      </c>
      <c r="Q744">
        <v>35</v>
      </c>
      <c r="R744">
        <v>1</v>
      </c>
      <c r="S744" t="s">
        <v>116</v>
      </c>
      <c r="T744">
        <v>3</v>
      </c>
      <c r="U744">
        <v>2</v>
      </c>
      <c r="V744">
        <v>0</v>
      </c>
      <c r="W744">
        <v>0</v>
      </c>
      <c r="X744">
        <v>0</v>
      </c>
      <c r="Y744" s="20">
        <f>SUM(Table1[[#This Row],[dty_type_cnt1]:[dty_type_cnt5]])</f>
        <v>5</v>
      </c>
    </row>
    <row r="745" spans="1:25" x14ac:dyDescent="0.25">
      <c r="A745" s="15">
        <v>46104</v>
      </c>
      <c r="B745" t="s">
        <v>430</v>
      </c>
      <c r="C745" t="s">
        <v>256</v>
      </c>
      <c r="D745" t="s">
        <v>54</v>
      </c>
      <c r="E745" t="s">
        <v>181</v>
      </c>
      <c r="F745" t="s">
        <v>182</v>
      </c>
      <c r="G745" t="s">
        <v>258</v>
      </c>
      <c r="H745" t="s">
        <v>259</v>
      </c>
      <c r="J745" t="s">
        <v>156</v>
      </c>
      <c r="K745" t="s">
        <v>59</v>
      </c>
      <c r="L745">
        <v>27455</v>
      </c>
      <c r="M745">
        <v>31</v>
      </c>
      <c r="N745">
        <v>4</v>
      </c>
      <c r="O745">
        <v>666.97199999999998</v>
      </c>
      <c r="P745">
        <v>51.6</v>
      </c>
      <c r="Q745">
        <v>20</v>
      </c>
      <c r="R745">
        <v>2</v>
      </c>
      <c r="S745" t="s">
        <v>116</v>
      </c>
      <c r="T745">
        <v>2</v>
      </c>
      <c r="U745">
        <v>2</v>
      </c>
      <c r="V745">
        <v>0</v>
      </c>
      <c r="W745">
        <v>0</v>
      </c>
      <c r="X745">
        <v>0</v>
      </c>
      <c r="Y745" s="20">
        <f>SUM(Table1[[#This Row],[dty_type_cnt1]:[dty_type_cnt5]])</f>
        <v>4</v>
      </c>
    </row>
    <row r="746" spans="1:25" x14ac:dyDescent="0.25">
      <c r="A746" s="15">
        <v>46104</v>
      </c>
      <c r="B746" t="s">
        <v>430</v>
      </c>
      <c r="C746" t="s">
        <v>256</v>
      </c>
      <c r="D746" t="s">
        <v>54</v>
      </c>
      <c r="E746" t="s">
        <v>305</v>
      </c>
      <c r="F746" t="s">
        <v>306</v>
      </c>
      <c r="G746" t="s">
        <v>258</v>
      </c>
      <c r="H746" t="s">
        <v>259</v>
      </c>
      <c r="J746" t="s">
        <v>156</v>
      </c>
      <c r="K746" t="s">
        <v>59</v>
      </c>
      <c r="L746">
        <v>27455</v>
      </c>
      <c r="M746">
        <v>45</v>
      </c>
      <c r="N746">
        <v>12</v>
      </c>
      <c r="O746">
        <v>756.58900000000006</v>
      </c>
      <c r="P746">
        <v>83.3</v>
      </c>
      <c r="Q746">
        <v>20</v>
      </c>
      <c r="R746">
        <v>7</v>
      </c>
      <c r="S746" t="s">
        <v>116</v>
      </c>
      <c r="T746">
        <v>4</v>
      </c>
      <c r="U746">
        <v>4</v>
      </c>
      <c r="V746">
        <v>0</v>
      </c>
      <c r="W746">
        <v>0</v>
      </c>
      <c r="X746">
        <v>0</v>
      </c>
      <c r="Y746" s="20">
        <f>SUM(Table1[[#This Row],[dty_type_cnt1]:[dty_type_cnt5]])</f>
        <v>8</v>
      </c>
    </row>
    <row r="747" spans="1:25" x14ac:dyDescent="0.25">
      <c r="A747" s="15">
        <v>46104</v>
      </c>
      <c r="B747" t="s">
        <v>430</v>
      </c>
      <c r="C747" t="s">
        <v>256</v>
      </c>
      <c r="D747" t="s">
        <v>54</v>
      </c>
      <c r="E747" t="s">
        <v>307</v>
      </c>
      <c r="F747" t="s">
        <v>308</v>
      </c>
      <c r="G747" t="s">
        <v>258</v>
      </c>
      <c r="H747" t="s">
        <v>259</v>
      </c>
      <c r="J747" t="s">
        <v>156</v>
      </c>
      <c r="K747" t="s">
        <v>59</v>
      </c>
      <c r="L747">
        <v>27455</v>
      </c>
      <c r="M747">
        <v>52</v>
      </c>
      <c r="N747">
        <v>16</v>
      </c>
      <c r="O747">
        <v>1511.0740000000001</v>
      </c>
      <c r="P747">
        <v>109.3</v>
      </c>
      <c r="Q747">
        <v>15</v>
      </c>
      <c r="R747">
        <v>6</v>
      </c>
      <c r="S747" t="s">
        <v>116</v>
      </c>
      <c r="T747">
        <v>6</v>
      </c>
      <c r="U747">
        <v>6</v>
      </c>
      <c r="V747">
        <v>0</v>
      </c>
      <c r="W747">
        <v>0</v>
      </c>
      <c r="X747">
        <v>0</v>
      </c>
      <c r="Y747" s="20">
        <f>SUM(Table1[[#This Row],[dty_type_cnt1]:[dty_type_cnt5]])</f>
        <v>12</v>
      </c>
    </row>
    <row r="748" spans="1:25" x14ac:dyDescent="0.25">
      <c r="A748" s="15">
        <v>46104</v>
      </c>
      <c r="B748" t="s">
        <v>430</v>
      </c>
      <c r="C748" t="s">
        <v>256</v>
      </c>
      <c r="D748" t="s">
        <v>54</v>
      </c>
      <c r="E748" t="s">
        <v>309</v>
      </c>
      <c r="F748" t="s">
        <v>310</v>
      </c>
      <c r="G748" t="s">
        <v>258</v>
      </c>
      <c r="H748" t="s">
        <v>259</v>
      </c>
      <c r="J748" t="s">
        <v>156</v>
      </c>
      <c r="K748" t="s">
        <v>59</v>
      </c>
      <c r="L748">
        <v>27455</v>
      </c>
      <c r="M748">
        <v>50</v>
      </c>
      <c r="N748">
        <v>16</v>
      </c>
      <c r="O748">
        <v>1577.261</v>
      </c>
      <c r="P748">
        <v>115.7</v>
      </c>
      <c r="Q748">
        <v>20</v>
      </c>
      <c r="R748">
        <v>6</v>
      </c>
      <c r="S748" t="s">
        <v>116</v>
      </c>
      <c r="T748">
        <v>6</v>
      </c>
      <c r="U748">
        <v>6</v>
      </c>
      <c r="V748">
        <v>0</v>
      </c>
      <c r="W748">
        <v>0</v>
      </c>
      <c r="X748">
        <v>0</v>
      </c>
      <c r="Y748" s="20">
        <f>SUM(Table1[[#This Row],[dty_type_cnt1]:[dty_type_cnt5]])</f>
        <v>12</v>
      </c>
    </row>
    <row r="749" spans="1:25" x14ac:dyDescent="0.25">
      <c r="A749" s="15">
        <v>46104</v>
      </c>
      <c r="B749" t="s">
        <v>430</v>
      </c>
      <c r="C749" t="s">
        <v>256</v>
      </c>
      <c r="D749" t="s">
        <v>54</v>
      </c>
      <c r="E749" t="s">
        <v>311</v>
      </c>
      <c r="F749" t="s">
        <v>312</v>
      </c>
      <c r="G749" t="s">
        <v>258</v>
      </c>
      <c r="H749" t="s">
        <v>259</v>
      </c>
      <c r="J749" t="s">
        <v>156</v>
      </c>
      <c r="K749" t="s">
        <v>59</v>
      </c>
      <c r="L749">
        <v>27455</v>
      </c>
      <c r="M749">
        <v>62</v>
      </c>
      <c r="N749">
        <v>18</v>
      </c>
      <c r="O749">
        <v>790.43200000000002</v>
      </c>
      <c r="P749">
        <v>196.6</v>
      </c>
      <c r="Q749">
        <v>10</v>
      </c>
      <c r="R749">
        <v>6</v>
      </c>
      <c r="S749" t="s">
        <v>116</v>
      </c>
      <c r="T749">
        <v>6</v>
      </c>
      <c r="U749">
        <v>2</v>
      </c>
      <c r="V749">
        <v>3</v>
      </c>
      <c r="W749">
        <v>0</v>
      </c>
      <c r="X749">
        <v>0</v>
      </c>
      <c r="Y749" s="20">
        <f>SUM(Table1[[#This Row],[dty_type_cnt1]:[dty_type_cnt5]])</f>
        <v>11</v>
      </c>
    </row>
    <row r="750" spans="1:25" x14ac:dyDescent="0.25">
      <c r="A750" s="15">
        <v>46104</v>
      </c>
      <c r="B750" t="s">
        <v>430</v>
      </c>
      <c r="C750" t="s">
        <v>256</v>
      </c>
      <c r="D750" t="s">
        <v>54</v>
      </c>
      <c r="E750" t="s">
        <v>99</v>
      </c>
      <c r="F750" t="s">
        <v>100</v>
      </c>
      <c r="G750" t="s">
        <v>258</v>
      </c>
      <c r="H750" t="s">
        <v>259</v>
      </c>
      <c r="J750" t="s">
        <v>63</v>
      </c>
      <c r="K750" t="s">
        <v>59</v>
      </c>
      <c r="L750">
        <v>27455</v>
      </c>
      <c r="M750">
        <v>27</v>
      </c>
      <c r="N750">
        <v>4</v>
      </c>
      <c r="O750">
        <v>370.60199999999998</v>
      </c>
      <c r="P750">
        <v>0.4</v>
      </c>
      <c r="Q750">
        <v>20</v>
      </c>
      <c r="R750">
        <v>2</v>
      </c>
      <c r="S750" t="s">
        <v>116</v>
      </c>
      <c r="T750">
        <v>3</v>
      </c>
      <c r="U750">
        <v>1</v>
      </c>
      <c r="V750">
        <v>1</v>
      </c>
      <c r="W750">
        <v>0</v>
      </c>
      <c r="X750">
        <v>0</v>
      </c>
      <c r="Y750" s="20">
        <f>SUM(Table1[[#This Row],[dty_type_cnt1]:[dty_type_cnt5]])</f>
        <v>5</v>
      </c>
    </row>
    <row r="751" spans="1:25" x14ac:dyDescent="0.25">
      <c r="A751" s="15">
        <v>46104</v>
      </c>
      <c r="B751" t="s">
        <v>430</v>
      </c>
      <c r="C751" t="s">
        <v>256</v>
      </c>
      <c r="D751" t="s">
        <v>46</v>
      </c>
      <c r="E751" t="s">
        <v>313</v>
      </c>
      <c r="F751" t="s">
        <v>314</v>
      </c>
      <c r="G751" t="s">
        <v>258</v>
      </c>
      <c r="H751" t="s">
        <v>259</v>
      </c>
      <c r="J751" t="s">
        <v>156</v>
      </c>
      <c r="K751" t="s">
        <v>59</v>
      </c>
      <c r="L751">
        <v>27455</v>
      </c>
      <c r="M751">
        <v>54</v>
      </c>
      <c r="N751">
        <v>18</v>
      </c>
      <c r="O751">
        <v>2135.9699999999998</v>
      </c>
      <c r="P751">
        <v>115.2</v>
      </c>
      <c r="Q751">
        <v>20</v>
      </c>
      <c r="R751">
        <v>9</v>
      </c>
      <c r="S751" t="s">
        <v>116</v>
      </c>
      <c r="T751">
        <v>7</v>
      </c>
      <c r="U751">
        <v>7</v>
      </c>
      <c r="V751">
        <v>3</v>
      </c>
      <c r="W751">
        <v>0</v>
      </c>
      <c r="X751">
        <v>0</v>
      </c>
      <c r="Y751" s="20">
        <f>SUM(Table1[[#This Row],[dty_type_cnt1]:[dty_type_cnt5]])</f>
        <v>17</v>
      </c>
    </row>
    <row r="752" spans="1:25" x14ac:dyDescent="0.25">
      <c r="A752" s="15">
        <v>46104</v>
      </c>
      <c r="B752" t="s">
        <v>430</v>
      </c>
      <c r="C752" t="s">
        <v>256</v>
      </c>
      <c r="D752" t="s">
        <v>55</v>
      </c>
      <c r="E752" t="s">
        <v>315</v>
      </c>
      <c r="F752" t="s">
        <v>316</v>
      </c>
      <c r="G752" t="s">
        <v>258</v>
      </c>
      <c r="H752" t="s">
        <v>259</v>
      </c>
      <c r="J752" t="s">
        <v>156</v>
      </c>
      <c r="K752" t="s">
        <v>59</v>
      </c>
      <c r="L752">
        <v>27455</v>
      </c>
      <c r="M752">
        <v>18</v>
      </c>
      <c r="N752">
        <v>2</v>
      </c>
      <c r="O752">
        <v>384.87400000000002</v>
      </c>
      <c r="P752">
        <v>23.9</v>
      </c>
      <c r="Q752">
        <v>60</v>
      </c>
      <c r="R752">
        <v>1</v>
      </c>
      <c r="S752" t="s">
        <v>116</v>
      </c>
      <c r="T752">
        <v>1</v>
      </c>
      <c r="U752">
        <v>1</v>
      </c>
      <c r="V752">
        <v>0</v>
      </c>
      <c r="W752">
        <v>0</v>
      </c>
      <c r="X752">
        <v>0</v>
      </c>
      <c r="Y752" s="20">
        <f>SUM(Table1[[#This Row],[dty_type_cnt1]:[dty_type_cnt5]])</f>
        <v>2</v>
      </c>
    </row>
    <row r="753" spans="1:25" x14ac:dyDescent="0.25">
      <c r="A753" s="15">
        <v>46104</v>
      </c>
      <c r="B753" t="s">
        <v>430</v>
      </c>
      <c r="C753" t="s">
        <v>256</v>
      </c>
      <c r="D753" t="s">
        <v>49</v>
      </c>
      <c r="E753" t="s">
        <v>250</v>
      </c>
      <c r="F753" t="s">
        <v>251</v>
      </c>
      <c r="G753" t="s">
        <v>258</v>
      </c>
      <c r="H753" t="s">
        <v>259</v>
      </c>
      <c r="J753" t="s">
        <v>0</v>
      </c>
      <c r="K753" t="s">
        <v>59</v>
      </c>
      <c r="L753">
        <v>27455</v>
      </c>
      <c r="M753">
        <v>79</v>
      </c>
      <c r="N753">
        <v>20</v>
      </c>
      <c r="O753">
        <v>1828.5650000000001</v>
      </c>
      <c r="P753">
        <v>260.2</v>
      </c>
      <c r="Q753">
        <v>15</v>
      </c>
      <c r="R753">
        <v>10</v>
      </c>
      <c r="S753" t="s">
        <v>116</v>
      </c>
      <c r="T753">
        <v>11</v>
      </c>
      <c r="U753">
        <v>8</v>
      </c>
      <c r="V753">
        <v>1</v>
      </c>
      <c r="W753">
        <v>0</v>
      </c>
      <c r="X753">
        <v>0</v>
      </c>
      <c r="Y753" s="20">
        <f>SUM(Table1[[#This Row],[dty_type_cnt1]:[dty_type_cnt5]])</f>
        <v>20</v>
      </c>
    </row>
    <row r="754" spans="1:25" x14ac:dyDescent="0.25">
      <c r="A754" s="15">
        <v>46104</v>
      </c>
      <c r="B754" t="s">
        <v>430</v>
      </c>
      <c r="C754" t="s">
        <v>256</v>
      </c>
      <c r="D754" t="s">
        <v>49</v>
      </c>
      <c r="E754" t="s">
        <v>104</v>
      </c>
      <c r="F754" t="s">
        <v>134</v>
      </c>
      <c r="G754" t="s">
        <v>258</v>
      </c>
      <c r="H754" t="s">
        <v>259</v>
      </c>
      <c r="J754" t="s">
        <v>0</v>
      </c>
      <c r="K754" t="s">
        <v>59</v>
      </c>
      <c r="L754">
        <v>27455</v>
      </c>
      <c r="M754">
        <v>22</v>
      </c>
      <c r="N754">
        <v>4</v>
      </c>
      <c r="O754">
        <v>682.30600000000004</v>
      </c>
      <c r="P754">
        <v>0.4</v>
      </c>
      <c r="Q754">
        <v>20</v>
      </c>
      <c r="R754">
        <v>2</v>
      </c>
      <c r="S754" t="s">
        <v>116</v>
      </c>
      <c r="T754">
        <v>3</v>
      </c>
      <c r="U754">
        <v>1</v>
      </c>
      <c r="V754">
        <v>1</v>
      </c>
      <c r="W754">
        <v>0</v>
      </c>
      <c r="X754">
        <v>0</v>
      </c>
      <c r="Y754" s="20">
        <f>SUM(Table1[[#This Row],[dty_type_cnt1]:[dty_type_cnt5]])</f>
        <v>5</v>
      </c>
    </row>
    <row r="755" spans="1:25" x14ac:dyDescent="0.25">
      <c r="A755" s="15">
        <v>46104</v>
      </c>
      <c r="B755" t="s">
        <v>430</v>
      </c>
      <c r="C755" t="s">
        <v>256</v>
      </c>
      <c r="D755" t="s">
        <v>49</v>
      </c>
      <c r="E755" t="s">
        <v>105</v>
      </c>
      <c r="F755" t="s">
        <v>152</v>
      </c>
      <c r="G755" t="s">
        <v>258</v>
      </c>
      <c r="H755" t="s">
        <v>259</v>
      </c>
      <c r="J755" t="s">
        <v>76</v>
      </c>
      <c r="K755" t="s">
        <v>59</v>
      </c>
      <c r="L755">
        <v>27455</v>
      </c>
      <c r="M755">
        <v>8</v>
      </c>
      <c r="N755">
        <v>2</v>
      </c>
      <c r="O755">
        <v>247.72399999999999</v>
      </c>
      <c r="P755">
        <v>6.5</v>
      </c>
      <c r="Q755">
        <v>30</v>
      </c>
      <c r="R755">
        <v>1</v>
      </c>
      <c r="S755" t="s">
        <v>116</v>
      </c>
      <c r="T755">
        <v>1</v>
      </c>
      <c r="U755">
        <v>1</v>
      </c>
      <c r="V755">
        <v>0</v>
      </c>
      <c r="W755">
        <v>0</v>
      </c>
      <c r="X755">
        <v>0</v>
      </c>
      <c r="Y755" s="20">
        <f>SUM(Table1[[#This Row],[dty_type_cnt1]:[dty_type_cnt5]])</f>
        <v>2</v>
      </c>
    </row>
    <row r="756" spans="1:25" x14ac:dyDescent="0.25">
      <c r="A756" s="15">
        <v>46104</v>
      </c>
      <c r="B756" t="s">
        <v>430</v>
      </c>
      <c r="C756" t="s">
        <v>256</v>
      </c>
      <c r="D756" t="s">
        <v>49</v>
      </c>
      <c r="E756" t="s">
        <v>254</v>
      </c>
      <c r="F756" t="s">
        <v>255</v>
      </c>
      <c r="G756" t="s">
        <v>258</v>
      </c>
      <c r="H756" t="s">
        <v>259</v>
      </c>
      <c r="J756" t="s">
        <v>156</v>
      </c>
      <c r="K756" t="s">
        <v>59</v>
      </c>
      <c r="L756">
        <v>27455</v>
      </c>
      <c r="M756">
        <v>53</v>
      </c>
      <c r="N756">
        <v>14</v>
      </c>
      <c r="O756">
        <v>1537.96</v>
      </c>
      <c r="P756">
        <v>271.7</v>
      </c>
      <c r="Q756">
        <v>25</v>
      </c>
      <c r="R756">
        <v>6</v>
      </c>
      <c r="S756" t="s">
        <v>116</v>
      </c>
      <c r="T756">
        <v>8</v>
      </c>
      <c r="U756">
        <v>6</v>
      </c>
      <c r="V756">
        <v>1</v>
      </c>
      <c r="W756">
        <v>0</v>
      </c>
      <c r="X756">
        <v>0</v>
      </c>
      <c r="Y756" s="20">
        <f>SUM(Table1[[#This Row],[dty_type_cnt1]:[dty_type_cnt5]])</f>
        <v>15</v>
      </c>
    </row>
    <row r="757" spans="1:25" x14ac:dyDescent="0.25">
      <c r="A757" s="15">
        <v>46104</v>
      </c>
      <c r="B757" t="s">
        <v>430</v>
      </c>
      <c r="C757" t="s">
        <v>256</v>
      </c>
      <c r="D757" t="s">
        <v>49</v>
      </c>
      <c r="E757" t="s">
        <v>231</v>
      </c>
      <c r="F757" t="s">
        <v>232</v>
      </c>
      <c r="G757" t="s">
        <v>258</v>
      </c>
      <c r="H757" t="s">
        <v>259</v>
      </c>
      <c r="J757" t="s">
        <v>0</v>
      </c>
      <c r="K757" t="s">
        <v>59</v>
      </c>
      <c r="L757">
        <v>27455</v>
      </c>
      <c r="M757">
        <v>12</v>
      </c>
      <c r="N757">
        <v>2</v>
      </c>
      <c r="O757">
        <v>590.4</v>
      </c>
      <c r="P757">
        <v>0.2</v>
      </c>
      <c r="Q757">
        <v>30</v>
      </c>
      <c r="R757">
        <v>1</v>
      </c>
      <c r="S757" t="s">
        <v>116</v>
      </c>
      <c r="T757">
        <v>1</v>
      </c>
      <c r="U757">
        <v>1</v>
      </c>
      <c r="V757">
        <v>0</v>
      </c>
      <c r="W757">
        <v>0</v>
      </c>
      <c r="X757">
        <v>0</v>
      </c>
      <c r="Y757" s="20">
        <f>SUM(Table1[[#This Row],[dty_type_cnt1]:[dty_type_cnt5]])</f>
        <v>2</v>
      </c>
    </row>
    <row r="758" spans="1:25" x14ac:dyDescent="0.25">
      <c r="A758" s="15">
        <v>46104</v>
      </c>
      <c r="B758" t="s">
        <v>430</v>
      </c>
      <c r="C758" t="s">
        <v>319</v>
      </c>
      <c r="D758" t="s">
        <v>46</v>
      </c>
      <c r="E758">
        <v>5</v>
      </c>
      <c r="F758" t="s">
        <v>112</v>
      </c>
      <c r="G758" t="s">
        <v>322</v>
      </c>
      <c r="H758" t="s">
        <v>321</v>
      </c>
      <c r="I758" t="s">
        <v>426</v>
      </c>
      <c r="J758" t="s">
        <v>156</v>
      </c>
      <c r="K758" t="s">
        <v>323</v>
      </c>
      <c r="L758">
        <v>27451</v>
      </c>
      <c r="M758">
        <v>47</v>
      </c>
      <c r="N758">
        <v>12</v>
      </c>
      <c r="O758">
        <v>376.48200000000003</v>
      </c>
      <c r="P758">
        <v>72.599999999999994</v>
      </c>
      <c r="Q758">
        <v>20</v>
      </c>
      <c r="R758">
        <v>4</v>
      </c>
      <c r="S758" t="s">
        <v>116</v>
      </c>
      <c r="T758">
        <v>4</v>
      </c>
      <c r="U758">
        <v>2</v>
      </c>
      <c r="V758">
        <v>2</v>
      </c>
      <c r="W758">
        <v>0</v>
      </c>
      <c r="X758">
        <v>0</v>
      </c>
      <c r="Y758" s="20">
        <f>SUM(Table1[[#This Row],[dty_type_cnt1]:[dty_type_cnt5]])</f>
        <v>8</v>
      </c>
    </row>
    <row r="759" spans="1:25" x14ac:dyDescent="0.25">
      <c r="A759" s="15">
        <v>46105</v>
      </c>
      <c r="B759" t="s">
        <v>430</v>
      </c>
      <c r="C759" t="s">
        <v>319</v>
      </c>
      <c r="D759" t="s">
        <v>46</v>
      </c>
      <c r="E759">
        <v>6</v>
      </c>
      <c r="F759" t="s">
        <v>324</v>
      </c>
      <c r="G759" t="s">
        <v>322</v>
      </c>
      <c r="H759" t="s">
        <v>321</v>
      </c>
      <c r="I759" t="s">
        <v>426</v>
      </c>
      <c r="J759" t="s">
        <v>63</v>
      </c>
      <c r="K759" t="s">
        <v>323</v>
      </c>
      <c r="L759">
        <v>27451</v>
      </c>
      <c r="M759">
        <v>28</v>
      </c>
      <c r="N759">
        <v>6</v>
      </c>
      <c r="O759">
        <v>266.952</v>
      </c>
      <c r="P759">
        <v>60.3</v>
      </c>
      <c r="Q759">
        <v>30</v>
      </c>
      <c r="R759">
        <v>2</v>
      </c>
      <c r="S759" t="s">
        <v>116</v>
      </c>
      <c r="T759">
        <v>2</v>
      </c>
      <c r="U759">
        <v>1</v>
      </c>
      <c r="V759">
        <v>1</v>
      </c>
      <c r="W759">
        <v>0</v>
      </c>
      <c r="X759">
        <v>0</v>
      </c>
      <c r="Y759" s="20">
        <f>SUM(Table1[[#This Row],[dty_type_cnt1]:[dty_type_cnt5]])</f>
        <v>4</v>
      </c>
    </row>
    <row r="760" spans="1:25" x14ac:dyDescent="0.25">
      <c r="A760" s="15">
        <v>46105</v>
      </c>
      <c r="B760" t="s">
        <v>430</v>
      </c>
      <c r="C760" t="s">
        <v>319</v>
      </c>
      <c r="D760" t="s">
        <v>46</v>
      </c>
      <c r="E760">
        <v>18</v>
      </c>
      <c r="F760" t="s">
        <v>325</v>
      </c>
      <c r="G760" t="s">
        <v>322</v>
      </c>
      <c r="H760" t="s">
        <v>321</v>
      </c>
      <c r="I760" t="s">
        <v>426</v>
      </c>
      <c r="J760" t="s">
        <v>63</v>
      </c>
      <c r="K760" t="s">
        <v>323</v>
      </c>
      <c r="L760">
        <v>27451</v>
      </c>
      <c r="M760">
        <v>28</v>
      </c>
      <c r="N760">
        <v>20</v>
      </c>
      <c r="O760">
        <v>370.27300000000002</v>
      </c>
      <c r="P760">
        <v>96.2</v>
      </c>
      <c r="Q760">
        <v>20</v>
      </c>
      <c r="R760">
        <v>5</v>
      </c>
      <c r="S760" t="s">
        <v>116</v>
      </c>
      <c r="T760">
        <v>5</v>
      </c>
      <c r="U760">
        <v>0</v>
      </c>
      <c r="V760">
        <v>0</v>
      </c>
      <c r="W760">
        <v>0</v>
      </c>
      <c r="X760">
        <v>0</v>
      </c>
      <c r="Y760" s="20">
        <f>SUM(Table1[[#This Row],[dty_type_cnt1]:[dty_type_cnt5]])</f>
        <v>5</v>
      </c>
    </row>
    <row r="761" spans="1:25" x14ac:dyDescent="0.25">
      <c r="A761" s="15">
        <v>46105</v>
      </c>
      <c r="B761" t="s">
        <v>430</v>
      </c>
      <c r="C761" t="s">
        <v>319</v>
      </c>
      <c r="D761" t="s">
        <v>46</v>
      </c>
      <c r="E761">
        <v>19</v>
      </c>
      <c r="F761" t="s">
        <v>326</v>
      </c>
      <c r="G761" t="s">
        <v>322</v>
      </c>
      <c r="H761" t="s">
        <v>321</v>
      </c>
      <c r="I761" t="s">
        <v>426</v>
      </c>
      <c r="J761" t="s">
        <v>63</v>
      </c>
      <c r="K761" t="s">
        <v>323</v>
      </c>
      <c r="L761">
        <v>27451</v>
      </c>
      <c r="M761">
        <v>28</v>
      </c>
      <c r="N761">
        <v>20</v>
      </c>
      <c r="O761">
        <v>318.45800000000003</v>
      </c>
      <c r="P761">
        <v>77.599999999999994</v>
      </c>
      <c r="Q761">
        <v>20</v>
      </c>
      <c r="R761">
        <v>5</v>
      </c>
      <c r="S761" t="s">
        <v>116</v>
      </c>
      <c r="T761">
        <v>5</v>
      </c>
      <c r="U761">
        <v>0</v>
      </c>
      <c r="V761">
        <v>0</v>
      </c>
      <c r="W761">
        <v>0</v>
      </c>
      <c r="X761">
        <v>0</v>
      </c>
      <c r="Y761" s="20">
        <f>SUM(Table1[[#This Row],[dty_type_cnt1]:[dty_type_cnt5]])</f>
        <v>5</v>
      </c>
    </row>
    <row r="762" spans="1:25" x14ac:dyDescent="0.25">
      <c r="A762" s="15">
        <v>46105</v>
      </c>
      <c r="B762" t="s">
        <v>430</v>
      </c>
      <c r="C762" t="s">
        <v>319</v>
      </c>
      <c r="D762" t="s">
        <v>46</v>
      </c>
      <c r="E762">
        <v>25</v>
      </c>
      <c r="F762" t="s">
        <v>111</v>
      </c>
      <c r="G762" t="s">
        <v>322</v>
      </c>
      <c r="H762" t="s">
        <v>321</v>
      </c>
      <c r="I762" t="s">
        <v>426</v>
      </c>
      <c r="J762" t="s">
        <v>171</v>
      </c>
      <c r="K762" t="s">
        <v>323</v>
      </c>
      <c r="L762">
        <v>27451</v>
      </c>
      <c r="M762">
        <v>87</v>
      </c>
      <c r="N762">
        <v>14</v>
      </c>
      <c r="O762">
        <v>1238.3119999999999</v>
      </c>
      <c r="P762">
        <v>155.30000000000001</v>
      </c>
      <c r="Q762">
        <v>25</v>
      </c>
      <c r="R762">
        <v>7</v>
      </c>
      <c r="S762" t="s">
        <v>116</v>
      </c>
      <c r="T762">
        <v>5</v>
      </c>
      <c r="U762">
        <v>7</v>
      </c>
      <c r="V762">
        <v>0</v>
      </c>
      <c r="W762">
        <v>0</v>
      </c>
      <c r="X762">
        <v>0</v>
      </c>
      <c r="Y762" s="20">
        <f>SUM(Table1[[#This Row],[dty_type_cnt1]:[dty_type_cnt5]])</f>
        <v>12</v>
      </c>
    </row>
    <row r="763" spans="1:25" x14ac:dyDescent="0.25">
      <c r="A763" s="15">
        <v>46105</v>
      </c>
      <c r="B763" t="s">
        <v>430</v>
      </c>
      <c r="C763" t="s">
        <v>319</v>
      </c>
      <c r="D763" t="s">
        <v>46</v>
      </c>
      <c r="E763" t="s">
        <v>327</v>
      </c>
      <c r="F763" t="s">
        <v>328</v>
      </c>
      <c r="G763" t="s">
        <v>322</v>
      </c>
      <c r="H763" t="s">
        <v>321</v>
      </c>
      <c r="I763" t="s">
        <v>426</v>
      </c>
      <c r="J763" t="s">
        <v>0</v>
      </c>
      <c r="K763" t="s">
        <v>323</v>
      </c>
      <c r="L763">
        <v>27451</v>
      </c>
      <c r="M763">
        <v>45</v>
      </c>
      <c r="N763">
        <v>10</v>
      </c>
      <c r="O763">
        <v>662.44500000000005</v>
      </c>
      <c r="P763">
        <v>39.5</v>
      </c>
      <c r="Q763">
        <v>20</v>
      </c>
      <c r="R763">
        <v>4</v>
      </c>
      <c r="S763" t="s">
        <v>116</v>
      </c>
      <c r="T763">
        <v>4</v>
      </c>
      <c r="U763">
        <v>4</v>
      </c>
      <c r="V763">
        <v>0</v>
      </c>
      <c r="W763">
        <v>0</v>
      </c>
      <c r="X763">
        <v>0</v>
      </c>
      <c r="Y763" s="20">
        <f>SUM(Table1[[#This Row],[dty_type_cnt1]:[dty_type_cnt5]])</f>
        <v>8</v>
      </c>
    </row>
    <row r="764" spans="1:25" x14ac:dyDescent="0.25">
      <c r="A764" s="15">
        <v>46105</v>
      </c>
      <c r="B764" t="s">
        <v>430</v>
      </c>
      <c r="C764" t="s">
        <v>319</v>
      </c>
      <c r="D764" t="s">
        <v>46</v>
      </c>
      <c r="E764" t="s">
        <v>329</v>
      </c>
      <c r="F764" t="s">
        <v>330</v>
      </c>
      <c r="G764" t="s">
        <v>322</v>
      </c>
      <c r="H764" t="s">
        <v>321</v>
      </c>
      <c r="I764" t="s">
        <v>426</v>
      </c>
      <c r="J764" t="s">
        <v>0</v>
      </c>
      <c r="K764" t="s">
        <v>323</v>
      </c>
      <c r="L764">
        <v>27451</v>
      </c>
      <c r="M764">
        <v>15</v>
      </c>
      <c r="N764">
        <v>12</v>
      </c>
      <c r="O764">
        <v>433.14</v>
      </c>
      <c r="P764">
        <v>42.9</v>
      </c>
      <c r="Q764">
        <v>30</v>
      </c>
      <c r="R764">
        <v>3</v>
      </c>
      <c r="S764" t="s">
        <v>116</v>
      </c>
      <c r="T764">
        <v>3</v>
      </c>
      <c r="U764">
        <v>2</v>
      </c>
      <c r="V764">
        <v>1</v>
      </c>
      <c r="W764">
        <v>0</v>
      </c>
      <c r="X764">
        <v>0</v>
      </c>
      <c r="Y764" s="20">
        <f>SUM(Table1[[#This Row],[dty_type_cnt1]:[dty_type_cnt5]])</f>
        <v>6</v>
      </c>
    </row>
    <row r="765" spans="1:25" x14ac:dyDescent="0.25">
      <c r="A765" s="15">
        <v>46105</v>
      </c>
      <c r="B765" t="s">
        <v>430</v>
      </c>
      <c r="C765" t="s">
        <v>319</v>
      </c>
      <c r="D765" t="s">
        <v>46</v>
      </c>
      <c r="E765" t="s">
        <v>56</v>
      </c>
      <c r="F765" t="s">
        <v>57</v>
      </c>
      <c r="G765" t="s">
        <v>322</v>
      </c>
      <c r="H765" t="s">
        <v>321</v>
      </c>
      <c r="I765" t="s">
        <v>426</v>
      </c>
      <c r="J765" t="s">
        <v>0</v>
      </c>
      <c r="K765" t="s">
        <v>323</v>
      </c>
      <c r="L765">
        <v>27451</v>
      </c>
      <c r="M765">
        <v>4</v>
      </c>
      <c r="N765">
        <v>2</v>
      </c>
      <c r="O765">
        <v>69.384</v>
      </c>
      <c r="P765">
        <v>14.1</v>
      </c>
      <c r="Q765">
        <v>20</v>
      </c>
      <c r="R765">
        <v>1</v>
      </c>
      <c r="S765" t="s">
        <v>116</v>
      </c>
      <c r="T765">
        <v>0</v>
      </c>
      <c r="U765">
        <v>0</v>
      </c>
      <c r="V765">
        <v>1</v>
      </c>
      <c r="W765">
        <v>0</v>
      </c>
      <c r="X765">
        <v>0</v>
      </c>
      <c r="Y765" s="20">
        <f>SUM(Table1[[#This Row],[dty_type_cnt1]:[dty_type_cnt5]])</f>
        <v>1</v>
      </c>
    </row>
    <row r="766" spans="1:25" x14ac:dyDescent="0.25">
      <c r="A766" s="15">
        <v>46105</v>
      </c>
      <c r="B766" t="s">
        <v>430</v>
      </c>
      <c r="C766" t="s">
        <v>319</v>
      </c>
      <c r="D766" t="s">
        <v>176</v>
      </c>
      <c r="E766" t="s">
        <v>331</v>
      </c>
      <c r="F766" t="s">
        <v>332</v>
      </c>
      <c r="G766" t="s">
        <v>322</v>
      </c>
      <c r="H766" t="s">
        <v>321</v>
      </c>
      <c r="I766" t="s">
        <v>426</v>
      </c>
      <c r="J766" t="s">
        <v>171</v>
      </c>
      <c r="K766" t="s">
        <v>323</v>
      </c>
      <c r="L766">
        <v>27451</v>
      </c>
      <c r="M766">
        <v>92</v>
      </c>
      <c r="N766">
        <v>24</v>
      </c>
      <c r="O766">
        <v>13662.552</v>
      </c>
      <c r="P766">
        <v>175</v>
      </c>
      <c r="Q766">
        <v>25</v>
      </c>
      <c r="R766">
        <v>12</v>
      </c>
      <c r="S766" t="s">
        <v>116</v>
      </c>
      <c r="T766">
        <v>21</v>
      </c>
      <c r="U766">
        <v>9</v>
      </c>
      <c r="V766">
        <v>12</v>
      </c>
      <c r="W766">
        <v>0</v>
      </c>
      <c r="X766">
        <v>0</v>
      </c>
      <c r="Y766" s="20">
        <f>SUM(Table1[[#This Row],[dty_type_cnt1]:[dty_type_cnt5]])</f>
        <v>42</v>
      </c>
    </row>
    <row r="767" spans="1:25" x14ac:dyDescent="0.25">
      <c r="A767" s="15">
        <v>46105</v>
      </c>
      <c r="B767" t="s">
        <v>430</v>
      </c>
      <c r="C767" t="s">
        <v>319</v>
      </c>
      <c r="D767" t="s">
        <v>176</v>
      </c>
      <c r="E767" t="s">
        <v>333</v>
      </c>
      <c r="F767" t="s">
        <v>334</v>
      </c>
      <c r="G767" t="s">
        <v>322</v>
      </c>
      <c r="H767" t="s">
        <v>321</v>
      </c>
      <c r="I767" t="s">
        <v>426</v>
      </c>
      <c r="J767" t="s">
        <v>171</v>
      </c>
      <c r="K767" t="s">
        <v>323</v>
      </c>
      <c r="L767">
        <v>27451</v>
      </c>
      <c r="M767">
        <v>48</v>
      </c>
      <c r="N767">
        <v>22</v>
      </c>
      <c r="O767">
        <v>5712.0050000000001</v>
      </c>
      <c r="P767">
        <v>184.12</v>
      </c>
      <c r="Q767">
        <v>60</v>
      </c>
      <c r="R767">
        <v>5</v>
      </c>
      <c r="S767" t="s">
        <v>116</v>
      </c>
      <c r="T767">
        <v>6</v>
      </c>
      <c r="U767">
        <v>4</v>
      </c>
      <c r="V767">
        <v>4</v>
      </c>
      <c r="W767">
        <v>0</v>
      </c>
      <c r="X767">
        <v>0</v>
      </c>
      <c r="Y767" s="20">
        <f>SUM(Table1[[#This Row],[dty_type_cnt1]:[dty_type_cnt5]])</f>
        <v>14</v>
      </c>
    </row>
    <row r="768" spans="1:25" x14ac:dyDescent="0.25">
      <c r="A768" s="15">
        <v>46105</v>
      </c>
      <c r="B768" t="s">
        <v>430</v>
      </c>
      <c r="C768" t="s">
        <v>319</v>
      </c>
      <c r="D768" t="s">
        <v>46</v>
      </c>
      <c r="E768" t="s">
        <v>335</v>
      </c>
      <c r="F768" t="s">
        <v>336</v>
      </c>
      <c r="G768" t="s">
        <v>322</v>
      </c>
      <c r="H768" t="s">
        <v>321</v>
      </c>
      <c r="I768" t="s">
        <v>426</v>
      </c>
      <c r="J768" t="s">
        <v>171</v>
      </c>
      <c r="K768" t="s">
        <v>323</v>
      </c>
      <c r="L768">
        <v>27451</v>
      </c>
      <c r="M768">
        <v>18</v>
      </c>
      <c r="N768">
        <v>8</v>
      </c>
      <c r="O768">
        <v>3027.8429999999998</v>
      </c>
      <c r="P768">
        <v>42</v>
      </c>
      <c r="Q768">
        <v>115</v>
      </c>
      <c r="R768">
        <v>4</v>
      </c>
      <c r="S768" t="s">
        <v>116</v>
      </c>
      <c r="T768">
        <v>4</v>
      </c>
      <c r="U768">
        <v>2</v>
      </c>
      <c r="V768">
        <v>3</v>
      </c>
      <c r="W768">
        <v>0</v>
      </c>
      <c r="X768">
        <v>0</v>
      </c>
      <c r="Y768" s="20">
        <f>SUM(Table1[[#This Row],[dty_type_cnt1]:[dty_type_cnt5]])</f>
        <v>9</v>
      </c>
    </row>
    <row r="769" spans="1:25" x14ac:dyDescent="0.25">
      <c r="A769" s="15">
        <v>46105</v>
      </c>
      <c r="B769" t="s">
        <v>430</v>
      </c>
      <c r="C769" t="s">
        <v>319</v>
      </c>
      <c r="D769" t="s">
        <v>176</v>
      </c>
      <c r="E769" t="s">
        <v>337</v>
      </c>
      <c r="F769" t="s">
        <v>338</v>
      </c>
      <c r="G769" t="s">
        <v>322</v>
      </c>
      <c r="H769" t="s">
        <v>321</v>
      </c>
      <c r="I769" t="s">
        <v>426</v>
      </c>
      <c r="J769" t="s">
        <v>171</v>
      </c>
      <c r="K769" t="s">
        <v>323</v>
      </c>
      <c r="L769">
        <v>27451</v>
      </c>
      <c r="M769">
        <v>40</v>
      </c>
      <c r="N769">
        <v>12</v>
      </c>
      <c r="O769">
        <v>5566</v>
      </c>
      <c r="P769">
        <v>210</v>
      </c>
      <c r="Q769">
        <v>55</v>
      </c>
      <c r="R769">
        <v>6</v>
      </c>
      <c r="S769" t="s">
        <v>116</v>
      </c>
      <c r="T769">
        <v>10</v>
      </c>
      <c r="U769">
        <v>4</v>
      </c>
      <c r="V769">
        <v>6</v>
      </c>
      <c r="W769">
        <v>0</v>
      </c>
      <c r="X769">
        <v>0</v>
      </c>
      <c r="Y769" s="20">
        <f>SUM(Table1[[#This Row],[dty_type_cnt1]:[dty_type_cnt5]])</f>
        <v>20</v>
      </c>
    </row>
    <row r="770" spans="1:25" x14ac:dyDescent="0.25">
      <c r="A770" s="15">
        <v>46105</v>
      </c>
      <c r="B770" t="s">
        <v>430</v>
      </c>
      <c r="C770" t="s">
        <v>319</v>
      </c>
      <c r="D770" t="s">
        <v>176</v>
      </c>
      <c r="E770" t="s">
        <v>339</v>
      </c>
      <c r="F770" t="s">
        <v>340</v>
      </c>
      <c r="G770" t="s">
        <v>322</v>
      </c>
      <c r="H770" t="s">
        <v>321</v>
      </c>
      <c r="I770" t="s">
        <v>426</v>
      </c>
      <c r="J770" t="s">
        <v>76</v>
      </c>
      <c r="K770" t="s">
        <v>323</v>
      </c>
      <c r="L770">
        <v>27451</v>
      </c>
      <c r="M770">
        <v>165</v>
      </c>
      <c r="N770">
        <v>28</v>
      </c>
      <c r="O770">
        <v>2739.616</v>
      </c>
      <c r="P770">
        <v>272</v>
      </c>
      <c r="Q770">
        <v>12</v>
      </c>
      <c r="R770">
        <v>14</v>
      </c>
      <c r="S770" t="s">
        <v>116</v>
      </c>
      <c r="T770">
        <v>12</v>
      </c>
      <c r="U770">
        <v>12</v>
      </c>
      <c r="V770">
        <v>3</v>
      </c>
      <c r="W770">
        <v>0</v>
      </c>
      <c r="X770">
        <v>0</v>
      </c>
      <c r="Y770" s="20">
        <f>SUM(Table1[[#This Row],[dty_type_cnt1]:[dty_type_cnt5]])</f>
        <v>27</v>
      </c>
    </row>
    <row r="771" spans="1:25" x14ac:dyDescent="0.25">
      <c r="A771" s="15">
        <v>46105</v>
      </c>
      <c r="B771" t="s">
        <v>430</v>
      </c>
      <c r="C771" t="s">
        <v>319</v>
      </c>
      <c r="D771" t="s">
        <v>176</v>
      </c>
      <c r="E771" t="s">
        <v>341</v>
      </c>
      <c r="F771" t="s">
        <v>342</v>
      </c>
      <c r="G771" t="s">
        <v>322</v>
      </c>
      <c r="H771" t="s">
        <v>321</v>
      </c>
      <c r="I771" t="s">
        <v>426</v>
      </c>
      <c r="J771" t="s">
        <v>76</v>
      </c>
      <c r="K771" t="s">
        <v>323</v>
      </c>
      <c r="L771">
        <v>27451</v>
      </c>
      <c r="M771">
        <v>71</v>
      </c>
      <c r="N771">
        <v>16</v>
      </c>
      <c r="O771">
        <v>1442.1990000000001</v>
      </c>
      <c r="P771">
        <v>145.19999999999999</v>
      </c>
      <c r="Q771">
        <v>20</v>
      </c>
      <c r="R771">
        <v>7</v>
      </c>
      <c r="S771" t="s">
        <v>116</v>
      </c>
      <c r="T771">
        <v>7</v>
      </c>
      <c r="U771">
        <v>7</v>
      </c>
      <c r="V771">
        <v>0</v>
      </c>
      <c r="W771">
        <v>0</v>
      </c>
      <c r="X771">
        <v>0</v>
      </c>
      <c r="Y771" s="20">
        <f>SUM(Table1[[#This Row],[dty_type_cnt1]:[dty_type_cnt5]])</f>
        <v>14</v>
      </c>
    </row>
    <row r="772" spans="1:25" x14ac:dyDescent="0.25">
      <c r="A772" s="15">
        <v>46105</v>
      </c>
      <c r="B772" t="s">
        <v>430</v>
      </c>
      <c r="C772" t="s">
        <v>319</v>
      </c>
      <c r="D772" t="s">
        <v>176</v>
      </c>
      <c r="E772" t="s">
        <v>343</v>
      </c>
      <c r="F772" t="s">
        <v>344</v>
      </c>
      <c r="G772" t="s">
        <v>322</v>
      </c>
      <c r="H772" t="s">
        <v>321</v>
      </c>
      <c r="I772" t="s">
        <v>426</v>
      </c>
      <c r="J772" t="s">
        <v>76</v>
      </c>
      <c r="K772" t="s">
        <v>323</v>
      </c>
      <c r="L772">
        <v>27451</v>
      </c>
      <c r="M772">
        <v>106</v>
      </c>
      <c r="N772">
        <v>24</v>
      </c>
      <c r="O772">
        <v>1525.1120000000001</v>
      </c>
      <c r="P772">
        <v>196.7</v>
      </c>
      <c r="Q772">
        <v>15</v>
      </c>
      <c r="R772">
        <v>8</v>
      </c>
      <c r="S772" t="s">
        <v>116</v>
      </c>
      <c r="T772">
        <v>7</v>
      </c>
      <c r="U772">
        <v>7</v>
      </c>
      <c r="V772">
        <v>3</v>
      </c>
      <c r="W772">
        <v>0</v>
      </c>
      <c r="X772">
        <v>0</v>
      </c>
      <c r="Y772" s="20">
        <f>SUM(Table1[[#This Row],[dty_type_cnt1]:[dty_type_cnt5]])</f>
        <v>17</v>
      </c>
    </row>
    <row r="773" spans="1:25" x14ac:dyDescent="0.25">
      <c r="A773" s="15">
        <v>46105</v>
      </c>
      <c r="B773" t="s">
        <v>430</v>
      </c>
      <c r="C773" t="s">
        <v>319</v>
      </c>
      <c r="D773" t="s">
        <v>176</v>
      </c>
      <c r="E773" t="s">
        <v>345</v>
      </c>
      <c r="F773" t="s">
        <v>346</v>
      </c>
      <c r="G773" t="s">
        <v>322</v>
      </c>
      <c r="H773" t="s">
        <v>321</v>
      </c>
      <c r="I773" t="s">
        <v>426</v>
      </c>
      <c r="J773" t="s">
        <v>76</v>
      </c>
      <c r="K773" t="s">
        <v>323</v>
      </c>
      <c r="L773">
        <v>27451</v>
      </c>
      <c r="M773">
        <v>54</v>
      </c>
      <c r="N773">
        <v>8</v>
      </c>
      <c r="O773">
        <v>812.452</v>
      </c>
      <c r="P773">
        <v>76.400000000000006</v>
      </c>
      <c r="Q773">
        <v>30</v>
      </c>
      <c r="R773">
        <v>4</v>
      </c>
      <c r="S773" t="s">
        <v>116</v>
      </c>
      <c r="T773">
        <v>4</v>
      </c>
      <c r="U773">
        <v>4</v>
      </c>
      <c r="V773">
        <v>0</v>
      </c>
      <c r="W773">
        <v>0</v>
      </c>
      <c r="X773">
        <v>0</v>
      </c>
      <c r="Y773" s="20">
        <f>SUM(Table1[[#This Row],[dty_type_cnt1]:[dty_type_cnt5]])</f>
        <v>8</v>
      </c>
    </row>
    <row r="774" spans="1:25" x14ac:dyDescent="0.25">
      <c r="A774" s="15">
        <v>46105</v>
      </c>
      <c r="B774" t="s">
        <v>430</v>
      </c>
      <c r="C774" t="s">
        <v>319</v>
      </c>
      <c r="D774" t="s">
        <v>176</v>
      </c>
      <c r="E774" t="s">
        <v>347</v>
      </c>
      <c r="F774" t="s">
        <v>348</v>
      </c>
      <c r="G774" t="s">
        <v>322</v>
      </c>
      <c r="H774" t="s">
        <v>321</v>
      </c>
      <c r="I774" t="s">
        <v>426</v>
      </c>
      <c r="J774" t="s">
        <v>76</v>
      </c>
      <c r="K774" t="s">
        <v>323</v>
      </c>
      <c r="L774">
        <v>27451</v>
      </c>
      <c r="M774">
        <v>56</v>
      </c>
      <c r="N774">
        <v>6</v>
      </c>
      <c r="O774">
        <v>611.31600000000003</v>
      </c>
      <c r="P774">
        <v>57.3</v>
      </c>
      <c r="Q774">
        <v>30</v>
      </c>
      <c r="R774">
        <v>3</v>
      </c>
      <c r="S774" t="s">
        <v>116</v>
      </c>
      <c r="T774">
        <v>4</v>
      </c>
      <c r="U774">
        <v>2</v>
      </c>
      <c r="V774">
        <v>1</v>
      </c>
      <c r="W774">
        <v>0</v>
      </c>
      <c r="X774">
        <v>0</v>
      </c>
      <c r="Y774" s="20">
        <f>SUM(Table1[[#This Row],[dty_type_cnt1]:[dty_type_cnt5]])</f>
        <v>7</v>
      </c>
    </row>
    <row r="775" spans="1:25" x14ac:dyDescent="0.25">
      <c r="A775" s="15">
        <v>46105</v>
      </c>
      <c r="B775" t="s">
        <v>430</v>
      </c>
      <c r="C775" t="s">
        <v>319</v>
      </c>
      <c r="D775" t="s">
        <v>262</v>
      </c>
      <c r="E775" t="s">
        <v>427</v>
      </c>
      <c r="F775" t="s">
        <v>428</v>
      </c>
      <c r="G775" t="s">
        <v>322</v>
      </c>
      <c r="H775" t="s">
        <v>321</v>
      </c>
      <c r="I775" t="s">
        <v>426</v>
      </c>
      <c r="J775" t="s">
        <v>76</v>
      </c>
      <c r="K775" t="s">
        <v>323</v>
      </c>
      <c r="L775">
        <v>27451</v>
      </c>
      <c r="M775">
        <v>101</v>
      </c>
      <c r="N775">
        <v>10</v>
      </c>
      <c r="O775">
        <v>699.13800000000003</v>
      </c>
      <c r="P775">
        <v>59.6</v>
      </c>
      <c r="Q775">
        <v>20</v>
      </c>
      <c r="R775">
        <v>4</v>
      </c>
      <c r="S775" t="s">
        <v>116</v>
      </c>
      <c r="T775">
        <v>4</v>
      </c>
      <c r="U775">
        <v>3</v>
      </c>
      <c r="V775">
        <v>4</v>
      </c>
      <c r="W775">
        <v>0</v>
      </c>
      <c r="X775">
        <v>0</v>
      </c>
      <c r="Y775" s="20">
        <f>SUM(Table1[[#This Row],[dty_type_cnt1]:[dty_type_cnt5]])</f>
        <v>11</v>
      </c>
    </row>
    <row r="776" spans="1:25" x14ac:dyDescent="0.25">
      <c r="A776" s="15">
        <v>46105</v>
      </c>
      <c r="B776" t="s">
        <v>430</v>
      </c>
      <c r="C776" t="s">
        <v>319</v>
      </c>
      <c r="D776" t="s">
        <v>176</v>
      </c>
      <c r="E776" t="s">
        <v>349</v>
      </c>
      <c r="F776" t="s">
        <v>350</v>
      </c>
      <c r="G776" t="s">
        <v>322</v>
      </c>
      <c r="H776" t="s">
        <v>321</v>
      </c>
      <c r="I776" t="s">
        <v>426</v>
      </c>
      <c r="J776" t="s">
        <v>171</v>
      </c>
      <c r="K776" t="s">
        <v>323</v>
      </c>
      <c r="L776">
        <v>27451</v>
      </c>
      <c r="M776">
        <v>73</v>
      </c>
      <c r="N776">
        <v>8</v>
      </c>
      <c r="O776">
        <v>710.14800000000002</v>
      </c>
      <c r="P776">
        <v>66.3</v>
      </c>
      <c r="Q776">
        <v>30</v>
      </c>
      <c r="R776">
        <v>4</v>
      </c>
      <c r="S776" t="s">
        <v>116</v>
      </c>
      <c r="T776">
        <v>4</v>
      </c>
      <c r="U776">
        <v>4</v>
      </c>
      <c r="V776">
        <v>0</v>
      </c>
      <c r="W776">
        <v>0</v>
      </c>
      <c r="X776">
        <v>0</v>
      </c>
      <c r="Y776" s="20">
        <f>SUM(Table1[[#This Row],[dty_type_cnt1]:[dty_type_cnt5]])</f>
        <v>8</v>
      </c>
    </row>
    <row r="777" spans="1:25" x14ac:dyDescent="0.25">
      <c r="A777" s="15">
        <v>46105</v>
      </c>
      <c r="B777" t="s">
        <v>430</v>
      </c>
      <c r="C777" t="s">
        <v>319</v>
      </c>
      <c r="D777" t="s">
        <v>176</v>
      </c>
      <c r="E777" t="s">
        <v>351</v>
      </c>
      <c r="F777" t="s">
        <v>352</v>
      </c>
      <c r="G777" t="s">
        <v>322</v>
      </c>
      <c r="H777" t="s">
        <v>321</v>
      </c>
      <c r="I777" t="s">
        <v>426</v>
      </c>
      <c r="J777" t="s">
        <v>76</v>
      </c>
      <c r="K777" t="s">
        <v>323</v>
      </c>
      <c r="L777">
        <v>27451</v>
      </c>
      <c r="M777">
        <v>93</v>
      </c>
      <c r="N777">
        <v>20</v>
      </c>
      <c r="O777">
        <v>3086.2669999999998</v>
      </c>
      <c r="P777">
        <v>281.89999999999998</v>
      </c>
      <c r="Q777">
        <v>20</v>
      </c>
      <c r="R777">
        <v>9</v>
      </c>
      <c r="S777" t="s">
        <v>116</v>
      </c>
      <c r="T777">
        <v>11</v>
      </c>
      <c r="U777">
        <v>6</v>
      </c>
      <c r="V777">
        <v>4</v>
      </c>
      <c r="W777">
        <v>0</v>
      </c>
      <c r="X777">
        <v>0</v>
      </c>
      <c r="Y777" s="20">
        <f>SUM(Table1[[#This Row],[dty_type_cnt1]:[dty_type_cnt5]])</f>
        <v>21</v>
      </c>
    </row>
    <row r="778" spans="1:25" x14ac:dyDescent="0.25">
      <c r="A778" s="15">
        <v>46105</v>
      </c>
      <c r="B778" t="s">
        <v>430</v>
      </c>
      <c r="C778" t="s">
        <v>319</v>
      </c>
      <c r="D778" t="s">
        <v>176</v>
      </c>
      <c r="E778" t="s">
        <v>353</v>
      </c>
      <c r="F778" t="s">
        <v>354</v>
      </c>
      <c r="G778" t="s">
        <v>322</v>
      </c>
      <c r="H778" t="s">
        <v>321</v>
      </c>
      <c r="I778" t="s">
        <v>426</v>
      </c>
      <c r="J778" t="s">
        <v>171</v>
      </c>
      <c r="K778" t="s">
        <v>323</v>
      </c>
      <c r="L778">
        <v>27451</v>
      </c>
      <c r="M778">
        <v>32</v>
      </c>
      <c r="N778">
        <v>12</v>
      </c>
      <c r="O778">
        <v>866.81600000000003</v>
      </c>
      <c r="P778">
        <v>68.400000000000006</v>
      </c>
      <c r="Q778">
        <v>60</v>
      </c>
      <c r="R778">
        <v>3</v>
      </c>
      <c r="S778" t="s">
        <v>116</v>
      </c>
      <c r="T778">
        <v>3</v>
      </c>
      <c r="U778">
        <v>3</v>
      </c>
      <c r="V778">
        <v>0</v>
      </c>
      <c r="W778">
        <v>0</v>
      </c>
      <c r="X778">
        <v>0</v>
      </c>
      <c r="Y778" s="20">
        <f>SUM(Table1[[#This Row],[dty_type_cnt1]:[dty_type_cnt5]])</f>
        <v>6</v>
      </c>
    </row>
    <row r="779" spans="1:25" x14ac:dyDescent="0.25">
      <c r="A779" s="15">
        <v>46105</v>
      </c>
      <c r="B779" t="s">
        <v>430</v>
      </c>
      <c r="C779" t="s">
        <v>319</v>
      </c>
      <c r="D779" t="s">
        <v>176</v>
      </c>
      <c r="E779" t="s">
        <v>355</v>
      </c>
      <c r="F779" t="s">
        <v>356</v>
      </c>
      <c r="G779" t="s">
        <v>322</v>
      </c>
      <c r="H779" t="s">
        <v>321</v>
      </c>
      <c r="I779" t="s">
        <v>426</v>
      </c>
      <c r="J779" t="s">
        <v>171</v>
      </c>
      <c r="K779" t="s">
        <v>323</v>
      </c>
      <c r="L779">
        <v>27451</v>
      </c>
      <c r="M779">
        <v>20</v>
      </c>
      <c r="N779">
        <v>6</v>
      </c>
      <c r="O779">
        <v>2410.69</v>
      </c>
      <c r="P779">
        <v>0.6</v>
      </c>
      <c r="Q779">
        <v>100</v>
      </c>
      <c r="R779">
        <v>3</v>
      </c>
      <c r="S779" t="s">
        <v>116</v>
      </c>
      <c r="T779">
        <v>4</v>
      </c>
      <c r="U779">
        <v>2</v>
      </c>
      <c r="V779">
        <v>1</v>
      </c>
      <c r="W779">
        <v>0</v>
      </c>
      <c r="X779">
        <v>0</v>
      </c>
      <c r="Y779" s="20">
        <f>SUM(Table1[[#This Row],[dty_type_cnt1]:[dty_type_cnt5]])</f>
        <v>7</v>
      </c>
    </row>
    <row r="780" spans="1:25" x14ac:dyDescent="0.25">
      <c r="A780" s="15">
        <v>46105</v>
      </c>
      <c r="B780" t="s">
        <v>430</v>
      </c>
      <c r="C780" t="s">
        <v>319</v>
      </c>
      <c r="D780" t="s">
        <v>54</v>
      </c>
      <c r="E780" t="s">
        <v>92</v>
      </c>
      <c r="F780" t="s">
        <v>357</v>
      </c>
      <c r="G780" t="s">
        <v>322</v>
      </c>
      <c r="H780" t="s">
        <v>321</v>
      </c>
      <c r="I780" t="s">
        <v>426</v>
      </c>
      <c r="J780" t="s">
        <v>76</v>
      </c>
      <c r="K780" t="s">
        <v>323</v>
      </c>
      <c r="L780">
        <v>27451</v>
      </c>
      <c r="M780">
        <v>201</v>
      </c>
      <c r="N780">
        <v>22</v>
      </c>
      <c r="O780">
        <v>831.63099999999997</v>
      </c>
      <c r="P780">
        <v>81.400000000000006</v>
      </c>
      <c r="Q780">
        <v>10</v>
      </c>
      <c r="R780">
        <v>8</v>
      </c>
      <c r="S780" t="s">
        <v>116</v>
      </c>
      <c r="T780">
        <v>7</v>
      </c>
      <c r="U780">
        <v>6</v>
      </c>
      <c r="V780">
        <v>2</v>
      </c>
      <c r="W780">
        <v>0</v>
      </c>
      <c r="X780">
        <v>0</v>
      </c>
      <c r="Y780" s="20">
        <f>SUM(Table1[[#This Row],[dty_type_cnt1]:[dty_type_cnt5]])</f>
        <v>15</v>
      </c>
    </row>
    <row r="781" spans="1:25" x14ac:dyDescent="0.25">
      <c r="A781" s="15">
        <v>46105</v>
      </c>
      <c r="B781" t="s">
        <v>430</v>
      </c>
      <c r="C781" t="s">
        <v>319</v>
      </c>
      <c r="D781" t="s">
        <v>54</v>
      </c>
      <c r="E781" t="s">
        <v>93</v>
      </c>
      <c r="F781" t="s">
        <v>358</v>
      </c>
      <c r="G781" t="s">
        <v>322</v>
      </c>
      <c r="H781" t="s">
        <v>321</v>
      </c>
      <c r="I781" t="s">
        <v>426</v>
      </c>
      <c r="J781" t="s">
        <v>76</v>
      </c>
      <c r="K781" t="s">
        <v>323</v>
      </c>
      <c r="L781">
        <v>27451</v>
      </c>
      <c r="M781">
        <v>147</v>
      </c>
      <c r="N781">
        <v>22</v>
      </c>
      <c r="O781">
        <v>485.06200000000001</v>
      </c>
      <c r="P781">
        <v>84.4</v>
      </c>
      <c r="Q781">
        <v>7</v>
      </c>
      <c r="R781">
        <v>7</v>
      </c>
      <c r="S781" t="s">
        <v>116</v>
      </c>
      <c r="T781">
        <v>5</v>
      </c>
      <c r="U781">
        <v>7</v>
      </c>
      <c r="V781">
        <v>0</v>
      </c>
      <c r="W781">
        <v>0</v>
      </c>
      <c r="X781">
        <v>0</v>
      </c>
      <c r="Y781" s="20">
        <f>SUM(Table1[[#This Row],[dty_type_cnt1]:[dty_type_cnt5]])</f>
        <v>12</v>
      </c>
    </row>
    <row r="782" spans="1:25" x14ac:dyDescent="0.25">
      <c r="A782" s="15">
        <v>46105</v>
      </c>
      <c r="B782" t="s">
        <v>430</v>
      </c>
      <c r="C782" t="s">
        <v>319</v>
      </c>
      <c r="D782" t="s">
        <v>262</v>
      </c>
      <c r="E782" t="s">
        <v>359</v>
      </c>
      <c r="F782" t="s">
        <v>336</v>
      </c>
      <c r="G782" t="s">
        <v>322</v>
      </c>
      <c r="H782" t="s">
        <v>321</v>
      </c>
      <c r="I782" t="s">
        <v>426</v>
      </c>
      <c r="J782" t="s">
        <v>171</v>
      </c>
      <c r="K782" t="s">
        <v>323</v>
      </c>
      <c r="L782">
        <v>27451</v>
      </c>
      <c r="M782">
        <v>18</v>
      </c>
      <c r="N782">
        <v>6</v>
      </c>
      <c r="O782">
        <v>2439.261</v>
      </c>
      <c r="P782">
        <v>21.2</v>
      </c>
      <c r="Q782">
        <v>120</v>
      </c>
      <c r="R782">
        <v>3</v>
      </c>
      <c r="S782" t="s">
        <v>116</v>
      </c>
      <c r="T782">
        <v>4</v>
      </c>
      <c r="U782">
        <v>2</v>
      </c>
      <c r="V782">
        <v>3</v>
      </c>
      <c r="W782">
        <v>0</v>
      </c>
      <c r="X782">
        <v>0</v>
      </c>
      <c r="Y782" s="20">
        <f>SUM(Table1[[#This Row],[dty_type_cnt1]:[dty_type_cnt5]])</f>
        <v>9</v>
      </c>
    </row>
    <row r="783" spans="1:25" x14ac:dyDescent="0.25">
      <c r="A783" s="15">
        <v>46105</v>
      </c>
      <c r="B783" t="s">
        <v>430</v>
      </c>
      <c r="C783" t="s">
        <v>319</v>
      </c>
      <c r="D783" t="s">
        <v>406</v>
      </c>
      <c r="E783" t="s">
        <v>360</v>
      </c>
      <c r="F783" t="s">
        <v>361</v>
      </c>
      <c r="G783" t="s">
        <v>322</v>
      </c>
      <c r="H783" t="s">
        <v>321</v>
      </c>
      <c r="I783" t="s">
        <v>426</v>
      </c>
      <c r="J783" t="s">
        <v>171</v>
      </c>
      <c r="K783" t="s">
        <v>323</v>
      </c>
      <c r="L783">
        <v>27451</v>
      </c>
      <c r="M783">
        <v>14</v>
      </c>
      <c r="N783">
        <v>6</v>
      </c>
      <c r="O783">
        <v>1876.546</v>
      </c>
      <c r="P783">
        <v>130.80000000000001</v>
      </c>
      <c r="Q783">
        <v>120</v>
      </c>
      <c r="R783">
        <v>3</v>
      </c>
      <c r="S783" t="s">
        <v>116</v>
      </c>
      <c r="T783">
        <v>3</v>
      </c>
      <c r="U783">
        <v>2</v>
      </c>
      <c r="V783">
        <v>2</v>
      </c>
      <c r="W783">
        <v>0</v>
      </c>
      <c r="X783">
        <v>0</v>
      </c>
      <c r="Y783" s="20">
        <f>SUM(Table1[[#This Row],[dty_type_cnt1]:[dty_type_cnt5]])</f>
        <v>7</v>
      </c>
    </row>
    <row r="784" spans="1:25" x14ac:dyDescent="0.25">
      <c r="A784" s="15">
        <v>46105</v>
      </c>
      <c r="B784" t="s">
        <v>430</v>
      </c>
      <c r="C784" t="s">
        <v>319</v>
      </c>
      <c r="D784" t="s">
        <v>362</v>
      </c>
      <c r="E784" t="s">
        <v>363</v>
      </c>
      <c r="F784" t="s">
        <v>364</v>
      </c>
      <c r="G784" t="s">
        <v>322</v>
      </c>
      <c r="H784" t="s">
        <v>321</v>
      </c>
      <c r="I784" t="s">
        <v>426</v>
      </c>
      <c r="J784" t="s">
        <v>63</v>
      </c>
      <c r="K784" t="s">
        <v>323</v>
      </c>
      <c r="L784">
        <v>27451</v>
      </c>
      <c r="M784">
        <v>50</v>
      </c>
      <c r="N784">
        <v>6</v>
      </c>
      <c r="O784">
        <v>508.125</v>
      </c>
      <c r="P784">
        <v>14.2</v>
      </c>
      <c r="Q784">
        <v>30</v>
      </c>
      <c r="R784">
        <v>2</v>
      </c>
      <c r="S784" t="s">
        <v>116</v>
      </c>
      <c r="T784">
        <v>2</v>
      </c>
      <c r="U784">
        <v>2</v>
      </c>
      <c r="V784">
        <v>0</v>
      </c>
      <c r="W784">
        <v>0</v>
      </c>
      <c r="X784">
        <v>0</v>
      </c>
      <c r="Y784" s="20">
        <f>SUM(Table1[[#This Row],[dty_type_cnt1]:[dty_type_cnt5]])</f>
        <v>4</v>
      </c>
    </row>
    <row r="785" spans="1:25" x14ac:dyDescent="0.25">
      <c r="A785" s="15">
        <v>46105</v>
      </c>
      <c r="B785" t="s">
        <v>430</v>
      </c>
      <c r="C785" t="s">
        <v>319</v>
      </c>
      <c r="D785" t="s">
        <v>406</v>
      </c>
      <c r="E785" t="s">
        <v>365</v>
      </c>
      <c r="F785" t="s">
        <v>366</v>
      </c>
      <c r="G785" t="s">
        <v>322</v>
      </c>
      <c r="H785" t="s">
        <v>321</v>
      </c>
      <c r="I785" t="s">
        <v>426</v>
      </c>
      <c r="J785" t="s">
        <v>63</v>
      </c>
      <c r="K785" t="s">
        <v>323</v>
      </c>
      <c r="L785">
        <v>27451</v>
      </c>
      <c r="M785">
        <v>29</v>
      </c>
      <c r="N785">
        <v>32</v>
      </c>
      <c r="O785">
        <v>836.96900000000005</v>
      </c>
      <c r="P785">
        <v>3.278</v>
      </c>
      <c r="Q785">
        <v>30</v>
      </c>
      <c r="R785">
        <v>3</v>
      </c>
      <c r="S785" t="s">
        <v>116</v>
      </c>
      <c r="T785">
        <v>3</v>
      </c>
      <c r="U785">
        <v>3</v>
      </c>
      <c r="V785">
        <v>0</v>
      </c>
      <c r="W785">
        <v>0</v>
      </c>
      <c r="X785">
        <v>0</v>
      </c>
      <c r="Y785" s="20">
        <f>SUM(Table1[[#This Row],[dty_type_cnt1]:[dty_type_cnt5]])</f>
        <v>6</v>
      </c>
    </row>
    <row r="786" spans="1:25" x14ac:dyDescent="0.25">
      <c r="A786" s="15">
        <v>46105</v>
      </c>
      <c r="B786" t="s">
        <v>430</v>
      </c>
      <c r="C786" t="s">
        <v>319</v>
      </c>
      <c r="D786" t="s">
        <v>101</v>
      </c>
      <c r="E786" t="s">
        <v>102</v>
      </c>
      <c r="F786" t="s">
        <v>103</v>
      </c>
      <c r="G786" t="s">
        <v>322</v>
      </c>
      <c r="H786" t="s">
        <v>321</v>
      </c>
      <c r="I786" t="s">
        <v>426</v>
      </c>
      <c r="J786" t="s">
        <v>171</v>
      </c>
      <c r="K786" t="s">
        <v>323</v>
      </c>
      <c r="L786">
        <v>27451</v>
      </c>
      <c r="M786">
        <v>16</v>
      </c>
      <c r="N786">
        <v>6</v>
      </c>
      <c r="O786">
        <v>523.54399999999998</v>
      </c>
      <c r="P786">
        <v>45.3</v>
      </c>
      <c r="Q786">
        <v>60</v>
      </c>
      <c r="R786">
        <v>3</v>
      </c>
      <c r="S786" t="s">
        <v>116</v>
      </c>
      <c r="T786">
        <v>0</v>
      </c>
      <c r="U786">
        <v>0</v>
      </c>
      <c r="V786">
        <v>3</v>
      </c>
      <c r="W786">
        <v>0</v>
      </c>
      <c r="X786">
        <v>0</v>
      </c>
      <c r="Y786" s="20">
        <f>SUM(Table1[[#This Row],[dty_type_cnt1]:[dty_type_cnt5]])</f>
        <v>3</v>
      </c>
    </row>
    <row r="787" spans="1:25" x14ac:dyDescent="0.25">
      <c r="A787" s="15">
        <v>46105</v>
      </c>
      <c r="B787" t="s">
        <v>430</v>
      </c>
      <c r="C787" t="s">
        <v>319</v>
      </c>
      <c r="D787" t="s">
        <v>262</v>
      </c>
      <c r="E787" t="s">
        <v>367</v>
      </c>
      <c r="F787" t="s">
        <v>368</v>
      </c>
      <c r="G787" t="s">
        <v>322</v>
      </c>
      <c r="H787" t="s">
        <v>321</v>
      </c>
      <c r="I787" t="s">
        <v>426</v>
      </c>
      <c r="J787" t="s">
        <v>171</v>
      </c>
      <c r="K787" t="s">
        <v>323</v>
      </c>
      <c r="L787">
        <v>27451</v>
      </c>
      <c r="M787">
        <v>22</v>
      </c>
      <c r="N787">
        <v>10</v>
      </c>
      <c r="O787">
        <v>795.52</v>
      </c>
      <c r="P787">
        <v>215</v>
      </c>
      <c r="Q787">
        <v>60</v>
      </c>
      <c r="R787">
        <v>5</v>
      </c>
      <c r="S787" t="s">
        <v>116</v>
      </c>
      <c r="T787">
        <v>5</v>
      </c>
      <c r="U787">
        <v>3</v>
      </c>
      <c r="V787">
        <v>2</v>
      </c>
      <c r="W787">
        <v>0</v>
      </c>
      <c r="X787">
        <v>0</v>
      </c>
      <c r="Y787" s="20">
        <f>SUM(Table1[[#This Row],[dty_type_cnt1]:[dty_type_cnt5]])</f>
        <v>10</v>
      </c>
    </row>
    <row r="788" spans="1:25" x14ac:dyDescent="0.25">
      <c r="A788" s="15">
        <v>46105</v>
      </c>
      <c r="B788" t="s">
        <v>430</v>
      </c>
      <c r="C788" t="s">
        <v>319</v>
      </c>
      <c r="D788" t="s">
        <v>46</v>
      </c>
      <c r="E788">
        <v>5</v>
      </c>
      <c r="F788" t="s">
        <v>112</v>
      </c>
      <c r="G788" t="s">
        <v>322</v>
      </c>
      <c r="H788" t="s">
        <v>321</v>
      </c>
      <c r="I788" t="s">
        <v>426</v>
      </c>
      <c r="J788" t="s">
        <v>156</v>
      </c>
      <c r="K788" t="s">
        <v>369</v>
      </c>
      <c r="L788">
        <v>27449</v>
      </c>
      <c r="M788">
        <v>47</v>
      </c>
      <c r="N788">
        <v>12</v>
      </c>
      <c r="O788">
        <v>376.48200000000003</v>
      </c>
      <c r="P788">
        <v>72.599999999999994</v>
      </c>
      <c r="Q788">
        <v>20</v>
      </c>
      <c r="R788">
        <v>4</v>
      </c>
      <c r="S788" t="s">
        <v>116</v>
      </c>
      <c r="T788">
        <v>4</v>
      </c>
      <c r="U788">
        <v>2</v>
      </c>
      <c r="V788">
        <v>2</v>
      </c>
      <c r="W788">
        <v>0</v>
      </c>
      <c r="X788">
        <v>0</v>
      </c>
      <c r="Y788" s="20">
        <f>SUM(Table1[[#This Row],[dty_type_cnt1]:[dty_type_cnt5]])</f>
        <v>8</v>
      </c>
    </row>
    <row r="789" spans="1:25" x14ac:dyDescent="0.25">
      <c r="A789" s="15">
        <v>46105</v>
      </c>
      <c r="B789" t="s">
        <v>430</v>
      </c>
      <c r="C789" t="s">
        <v>319</v>
      </c>
      <c r="D789" t="s">
        <v>46</v>
      </c>
      <c r="E789">
        <v>6</v>
      </c>
      <c r="F789" t="s">
        <v>324</v>
      </c>
      <c r="G789" t="s">
        <v>322</v>
      </c>
      <c r="H789" t="s">
        <v>321</v>
      </c>
      <c r="I789" t="s">
        <v>426</v>
      </c>
      <c r="J789" t="s">
        <v>63</v>
      </c>
      <c r="K789" t="s">
        <v>369</v>
      </c>
      <c r="L789">
        <v>27449</v>
      </c>
      <c r="M789">
        <v>28</v>
      </c>
      <c r="N789">
        <v>6</v>
      </c>
      <c r="O789">
        <v>266.952</v>
      </c>
      <c r="P789">
        <v>60.3</v>
      </c>
      <c r="Q789">
        <v>30</v>
      </c>
      <c r="R789">
        <v>2</v>
      </c>
      <c r="S789" t="s">
        <v>116</v>
      </c>
      <c r="T789">
        <v>2</v>
      </c>
      <c r="U789">
        <v>1</v>
      </c>
      <c r="V789">
        <v>1</v>
      </c>
      <c r="W789">
        <v>0</v>
      </c>
      <c r="X789">
        <v>0</v>
      </c>
      <c r="Y789" s="20">
        <f>SUM(Table1[[#This Row],[dty_type_cnt1]:[dty_type_cnt5]])</f>
        <v>4</v>
      </c>
    </row>
    <row r="790" spans="1:25" x14ac:dyDescent="0.25">
      <c r="A790" s="15">
        <v>46105</v>
      </c>
      <c r="B790" t="s">
        <v>430</v>
      </c>
      <c r="C790" t="s">
        <v>319</v>
      </c>
      <c r="D790" t="s">
        <v>46</v>
      </c>
      <c r="E790">
        <v>18</v>
      </c>
      <c r="F790" t="s">
        <v>325</v>
      </c>
      <c r="G790" t="s">
        <v>322</v>
      </c>
      <c r="H790" t="s">
        <v>321</v>
      </c>
      <c r="I790" t="s">
        <v>426</v>
      </c>
      <c r="J790" t="s">
        <v>63</v>
      </c>
      <c r="K790" t="s">
        <v>369</v>
      </c>
      <c r="L790">
        <v>27449</v>
      </c>
      <c r="M790">
        <v>28</v>
      </c>
      <c r="N790">
        <v>20</v>
      </c>
      <c r="O790">
        <v>370.27300000000002</v>
      </c>
      <c r="P790">
        <v>96.2</v>
      </c>
      <c r="Q790">
        <v>20</v>
      </c>
      <c r="R790">
        <v>5</v>
      </c>
      <c r="S790" t="s">
        <v>116</v>
      </c>
      <c r="T790">
        <v>5</v>
      </c>
      <c r="U790">
        <v>0</v>
      </c>
      <c r="V790">
        <v>0</v>
      </c>
      <c r="W790">
        <v>0</v>
      </c>
      <c r="X790">
        <v>0</v>
      </c>
      <c r="Y790" s="20">
        <f>SUM(Table1[[#This Row],[dty_type_cnt1]:[dty_type_cnt5]])</f>
        <v>5</v>
      </c>
    </row>
    <row r="791" spans="1:25" x14ac:dyDescent="0.25">
      <c r="A791" s="15">
        <v>46105</v>
      </c>
      <c r="B791" t="s">
        <v>430</v>
      </c>
      <c r="C791" t="s">
        <v>319</v>
      </c>
      <c r="D791" t="s">
        <v>46</v>
      </c>
      <c r="E791">
        <v>19</v>
      </c>
      <c r="F791" t="s">
        <v>326</v>
      </c>
      <c r="G791" t="s">
        <v>322</v>
      </c>
      <c r="H791" t="s">
        <v>321</v>
      </c>
      <c r="I791" t="s">
        <v>426</v>
      </c>
      <c r="J791" t="s">
        <v>63</v>
      </c>
      <c r="K791" t="s">
        <v>369</v>
      </c>
      <c r="L791">
        <v>27449</v>
      </c>
      <c r="M791">
        <v>28</v>
      </c>
      <c r="N791">
        <v>20</v>
      </c>
      <c r="O791">
        <v>318.45800000000003</v>
      </c>
      <c r="P791">
        <v>77.599999999999994</v>
      </c>
      <c r="Q791">
        <v>20</v>
      </c>
      <c r="R791">
        <v>5</v>
      </c>
      <c r="S791" t="s">
        <v>116</v>
      </c>
      <c r="T791">
        <v>5</v>
      </c>
      <c r="U791">
        <v>0</v>
      </c>
      <c r="V791">
        <v>0</v>
      </c>
      <c r="W791">
        <v>0</v>
      </c>
      <c r="X791">
        <v>0</v>
      </c>
      <c r="Y791" s="20">
        <f>SUM(Table1[[#This Row],[dty_type_cnt1]:[dty_type_cnt5]])</f>
        <v>5</v>
      </c>
    </row>
    <row r="792" spans="1:25" x14ac:dyDescent="0.25">
      <c r="A792" s="15">
        <v>46105</v>
      </c>
      <c r="B792" t="s">
        <v>430</v>
      </c>
      <c r="C792" t="s">
        <v>319</v>
      </c>
      <c r="D792" t="s">
        <v>46</v>
      </c>
      <c r="E792">
        <v>25</v>
      </c>
      <c r="F792" t="s">
        <v>111</v>
      </c>
      <c r="G792" t="s">
        <v>322</v>
      </c>
      <c r="H792" t="s">
        <v>321</v>
      </c>
      <c r="I792" t="s">
        <v>426</v>
      </c>
      <c r="J792" t="s">
        <v>171</v>
      </c>
      <c r="K792" t="s">
        <v>369</v>
      </c>
      <c r="L792">
        <v>27449</v>
      </c>
      <c r="M792">
        <v>87</v>
      </c>
      <c r="N792">
        <v>14</v>
      </c>
      <c r="O792">
        <v>1238.3119999999999</v>
      </c>
      <c r="P792">
        <v>155.30000000000001</v>
      </c>
      <c r="Q792">
        <v>25</v>
      </c>
      <c r="R792">
        <v>7</v>
      </c>
      <c r="S792" t="s">
        <v>116</v>
      </c>
      <c r="T792">
        <v>5</v>
      </c>
      <c r="U792">
        <v>7</v>
      </c>
      <c r="V792">
        <v>0</v>
      </c>
      <c r="W792">
        <v>0</v>
      </c>
      <c r="X792">
        <v>0</v>
      </c>
      <c r="Y792" s="20">
        <f>SUM(Table1[[#This Row],[dty_type_cnt1]:[dty_type_cnt5]])</f>
        <v>12</v>
      </c>
    </row>
    <row r="793" spans="1:25" x14ac:dyDescent="0.25">
      <c r="A793" s="15">
        <v>46106</v>
      </c>
      <c r="B793" t="s">
        <v>430</v>
      </c>
      <c r="C793" t="s">
        <v>319</v>
      </c>
      <c r="D793" t="s">
        <v>46</v>
      </c>
      <c r="E793" t="s">
        <v>327</v>
      </c>
      <c r="F793" t="s">
        <v>328</v>
      </c>
      <c r="G793" t="s">
        <v>322</v>
      </c>
      <c r="H793" t="s">
        <v>321</v>
      </c>
      <c r="I793" t="s">
        <v>426</v>
      </c>
      <c r="J793" t="s">
        <v>0</v>
      </c>
      <c r="K793" t="s">
        <v>369</v>
      </c>
      <c r="L793">
        <v>27449</v>
      </c>
      <c r="M793">
        <v>45</v>
      </c>
      <c r="N793">
        <v>10</v>
      </c>
      <c r="O793">
        <v>662.44500000000005</v>
      </c>
      <c r="P793">
        <v>39.5</v>
      </c>
      <c r="Q793">
        <v>20</v>
      </c>
      <c r="R793">
        <v>4</v>
      </c>
      <c r="S793" t="s">
        <v>116</v>
      </c>
      <c r="T793">
        <v>4</v>
      </c>
      <c r="U793">
        <v>4</v>
      </c>
      <c r="V793">
        <v>0</v>
      </c>
      <c r="W793">
        <v>0</v>
      </c>
      <c r="X793">
        <v>0</v>
      </c>
      <c r="Y793" s="20">
        <f>SUM(Table1[[#This Row],[dty_type_cnt1]:[dty_type_cnt5]])</f>
        <v>8</v>
      </c>
    </row>
    <row r="794" spans="1:25" x14ac:dyDescent="0.25">
      <c r="A794" s="15">
        <v>46106</v>
      </c>
      <c r="B794" t="s">
        <v>430</v>
      </c>
      <c r="C794" t="s">
        <v>319</v>
      </c>
      <c r="D794" t="s">
        <v>46</v>
      </c>
      <c r="E794" t="s">
        <v>329</v>
      </c>
      <c r="F794" t="s">
        <v>330</v>
      </c>
      <c r="G794" t="s">
        <v>322</v>
      </c>
      <c r="H794" t="s">
        <v>321</v>
      </c>
      <c r="I794" t="s">
        <v>426</v>
      </c>
      <c r="J794" t="s">
        <v>0</v>
      </c>
      <c r="K794" t="s">
        <v>369</v>
      </c>
      <c r="L794">
        <v>27449</v>
      </c>
      <c r="M794">
        <v>15</v>
      </c>
      <c r="N794">
        <v>12</v>
      </c>
      <c r="O794">
        <v>433.14</v>
      </c>
      <c r="P794">
        <v>42.9</v>
      </c>
      <c r="Q794">
        <v>30</v>
      </c>
      <c r="R794">
        <v>3</v>
      </c>
      <c r="S794" t="s">
        <v>116</v>
      </c>
      <c r="T794">
        <v>3</v>
      </c>
      <c r="U794">
        <v>2</v>
      </c>
      <c r="V794">
        <v>1</v>
      </c>
      <c r="W794">
        <v>0</v>
      </c>
      <c r="X794">
        <v>0</v>
      </c>
      <c r="Y794" s="20">
        <f>SUM(Table1[[#This Row],[dty_type_cnt1]:[dty_type_cnt5]])</f>
        <v>6</v>
      </c>
    </row>
    <row r="795" spans="1:25" x14ac:dyDescent="0.25">
      <c r="A795" s="15">
        <v>46106</v>
      </c>
      <c r="B795" t="s">
        <v>430</v>
      </c>
      <c r="C795" t="s">
        <v>319</v>
      </c>
      <c r="D795" t="s">
        <v>46</v>
      </c>
      <c r="E795" t="s">
        <v>56</v>
      </c>
      <c r="F795" t="s">
        <v>57</v>
      </c>
      <c r="G795" t="s">
        <v>322</v>
      </c>
      <c r="H795" t="s">
        <v>321</v>
      </c>
      <c r="I795" t="s">
        <v>426</v>
      </c>
      <c r="J795" t="s">
        <v>0</v>
      </c>
      <c r="K795" t="s">
        <v>369</v>
      </c>
      <c r="L795">
        <v>27449</v>
      </c>
      <c r="M795">
        <v>4</v>
      </c>
      <c r="N795">
        <v>2</v>
      </c>
      <c r="O795">
        <v>69.384</v>
      </c>
      <c r="P795">
        <v>14.1</v>
      </c>
      <c r="Q795">
        <v>20</v>
      </c>
      <c r="R795">
        <v>1</v>
      </c>
      <c r="S795" t="s">
        <v>116</v>
      </c>
      <c r="T795">
        <v>0</v>
      </c>
      <c r="U795">
        <v>0</v>
      </c>
      <c r="V795">
        <v>1</v>
      </c>
      <c r="W795">
        <v>0</v>
      </c>
      <c r="X795">
        <v>0</v>
      </c>
      <c r="Y795" s="20">
        <f>SUM(Table1[[#This Row],[dty_type_cnt1]:[dty_type_cnt5]])</f>
        <v>1</v>
      </c>
    </row>
    <row r="796" spans="1:25" x14ac:dyDescent="0.25">
      <c r="A796" s="15">
        <v>46106</v>
      </c>
      <c r="B796" t="s">
        <v>430</v>
      </c>
      <c r="C796" t="s">
        <v>319</v>
      </c>
      <c r="D796" t="s">
        <v>176</v>
      </c>
      <c r="E796" t="s">
        <v>331</v>
      </c>
      <c r="F796" t="s">
        <v>332</v>
      </c>
      <c r="G796" t="s">
        <v>322</v>
      </c>
      <c r="H796" t="s">
        <v>321</v>
      </c>
      <c r="I796" t="s">
        <v>426</v>
      </c>
      <c r="J796" t="s">
        <v>171</v>
      </c>
      <c r="K796" t="s">
        <v>369</v>
      </c>
      <c r="L796">
        <v>27449</v>
      </c>
      <c r="M796">
        <v>92</v>
      </c>
      <c r="N796">
        <v>24</v>
      </c>
      <c r="O796">
        <v>13662.552</v>
      </c>
      <c r="P796">
        <v>175</v>
      </c>
      <c r="Q796">
        <v>25</v>
      </c>
      <c r="R796">
        <v>12</v>
      </c>
      <c r="S796" t="s">
        <v>116</v>
      </c>
      <c r="T796">
        <v>21</v>
      </c>
      <c r="U796">
        <v>9</v>
      </c>
      <c r="V796">
        <v>12</v>
      </c>
      <c r="W796">
        <v>0</v>
      </c>
      <c r="X796">
        <v>0</v>
      </c>
      <c r="Y796" s="20">
        <f>SUM(Table1[[#This Row],[dty_type_cnt1]:[dty_type_cnt5]])</f>
        <v>42</v>
      </c>
    </row>
    <row r="797" spans="1:25" x14ac:dyDescent="0.25">
      <c r="A797" s="15">
        <v>46106</v>
      </c>
      <c r="B797" t="s">
        <v>430</v>
      </c>
      <c r="C797" t="s">
        <v>319</v>
      </c>
      <c r="D797" t="s">
        <v>176</v>
      </c>
      <c r="E797" t="s">
        <v>333</v>
      </c>
      <c r="F797" t="s">
        <v>334</v>
      </c>
      <c r="G797" t="s">
        <v>322</v>
      </c>
      <c r="H797" t="s">
        <v>321</v>
      </c>
      <c r="I797" t="s">
        <v>426</v>
      </c>
      <c r="J797" t="s">
        <v>171</v>
      </c>
      <c r="K797" t="s">
        <v>369</v>
      </c>
      <c r="L797">
        <v>27449</v>
      </c>
      <c r="M797">
        <v>48</v>
      </c>
      <c r="N797">
        <v>22</v>
      </c>
      <c r="O797">
        <v>5712.0050000000001</v>
      </c>
      <c r="P797">
        <v>184.12</v>
      </c>
      <c r="Q797">
        <v>60</v>
      </c>
      <c r="R797">
        <v>5</v>
      </c>
      <c r="S797" t="s">
        <v>116</v>
      </c>
      <c r="T797">
        <v>6</v>
      </c>
      <c r="U797">
        <v>4</v>
      </c>
      <c r="V797">
        <v>4</v>
      </c>
      <c r="W797">
        <v>0</v>
      </c>
      <c r="X797">
        <v>0</v>
      </c>
      <c r="Y797" s="20">
        <f>SUM(Table1[[#This Row],[dty_type_cnt1]:[dty_type_cnt5]])</f>
        <v>14</v>
      </c>
    </row>
    <row r="798" spans="1:25" x14ac:dyDescent="0.25">
      <c r="A798" s="15">
        <v>46106</v>
      </c>
      <c r="B798" t="s">
        <v>430</v>
      </c>
      <c r="C798" t="s">
        <v>319</v>
      </c>
      <c r="D798" t="s">
        <v>46</v>
      </c>
      <c r="E798" t="s">
        <v>335</v>
      </c>
      <c r="F798" t="s">
        <v>336</v>
      </c>
      <c r="G798" t="s">
        <v>322</v>
      </c>
      <c r="H798" t="s">
        <v>321</v>
      </c>
      <c r="I798" t="s">
        <v>426</v>
      </c>
      <c r="J798" t="s">
        <v>171</v>
      </c>
      <c r="K798" t="s">
        <v>369</v>
      </c>
      <c r="L798">
        <v>27449</v>
      </c>
      <c r="M798">
        <v>18</v>
      </c>
      <c r="N798">
        <v>8</v>
      </c>
      <c r="O798">
        <v>3027.8429999999998</v>
      </c>
      <c r="P798">
        <v>42</v>
      </c>
      <c r="Q798">
        <v>115</v>
      </c>
      <c r="R798">
        <v>4</v>
      </c>
      <c r="S798" t="s">
        <v>116</v>
      </c>
      <c r="T798">
        <v>4</v>
      </c>
      <c r="U798">
        <v>2</v>
      </c>
      <c r="V798">
        <v>3</v>
      </c>
      <c r="W798">
        <v>0</v>
      </c>
      <c r="X798">
        <v>0</v>
      </c>
      <c r="Y798" s="20">
        <f>SUM(Table1[[#This Row],[dty_type_cnt1]:[dty_type_cnt5]])</f>
        <v>9</v>
      </c>
    </row>
    <row r="799" spans="1:25" x14ac:dyDescent="0.25">
      <c r="A799" s="15">
        <v>46106</v>
      </c>
      <c r="B799" t="s">
        <v>430</v>
      </c>
      <c r="C799" t="s">
        <v>319</v>
      </c>
      <c r="D799" t="s">
        <v>176</v>
      </c>
      <c r="E799" t="s">
        <v>337</v>
      </c>
      <c r="F799" t="s">
        <v>338</v>
      </c>
      <c r="G799" t="s">
        <v>322</v>
      </c>
      <c r="H799" t="s">
        <v>321</v>
      </c>
      <c r="I799" t="s">
        <v>426</v>
      </c>
      <c r="J799" t="s">
        <v>171</v>
      </c>
      <c r="K799" t="s">
        <v>369</v>
      </c>
      <c r="L799">
        <v>27449</v>
      </c>
      <c r="M799">
        <v>40</v>
      </c>
      <c r="N799">
        <v>12</v>
      </c>
      <c r="O799">
        <v>5566</v>
      </c>
      <c r="P799">
        <v>210</v>
      </c>
      <c r="Q799">
        <v>55</v>
      </c>
      <c r="R799">
        <v>6</v>
      </c>
      <c r="S799" t="s">
        <v>116</v>
      </c>
      <c r="T799">
        <v>10</v>
      </c>
      <c r="U799">
        <v>4</v>
      </c>
      <c r="V799">
        <v>6</v>
      </c>
      <c r="W799">
        <v>0</v>
      </c>
      <c r="X799">
        <v>0</v>
      </c>
      <c r="Y799" s="20">
        <f>SUM(Table1[[#This Row],[dty_type_cnt1]:[dty_type_cnt5]])</f>
        <v>20</v>
      </c>
    </row>
    <row r="800" spans="1:25" x14ac:dyDescent="0.25">
      <c r="A800" s="15">
        <v>46106</v>
      </c>
      <c r="B800" t="s">
        <v>430</v>
      </c>
      <c r="C800" t="s">
        <v>319</v>
      </c>
      <c r="D800" t="s">
        <v>176</v>
      </c>
      <c r="E800" t="s">
        <v>339</v>
      </c>
      <c r="F800" t="s">
        <v>340</v>
      </c>
      <c r="G800" t="s">
        <v>322</v>
      </c>
      <c r="H800" t="s">
        <v>321</v>
      </c>
      <c r="I800" t="s">
        <v>426</v>
      </c>
      <c r="J800" t="s">
        <v>76</v>
      </c>
      <c r="K800" t="s">
        <v>369</v>
      </c>
      <c r="L800">
        <v>27449</v>
      </c>
      <c r="M800">
        <v>165</v>
      </c>
      <c r="N800">
        <v>28</v>
      </c>
      <c r="O800">
        <v>2739.616</v>
      </c>
      <c r="P800">
        <v>272</v>
      </c>
      <c r="Q800">
        <v>12</v>
      </c>
      <c r="R800">
        <v>14</v>
      </c>
      <c r="S800" t="s">
        <v>116</v>
      </c>
      <c r="T800">
        <v>12</v>
      </c>
      <c r="U800">
        <v>12</v>
      </c>
      <c r="V800">
        <v>3</v>
      </c>
      <c r="W800">
        <v>0</v>
      </c>
      <c r="X800">
        <v>0</v>
      </c>
      <c r="Y800" s="20">
        <f>SUM(Table1[[#This Row],[dty_type_cnt1]:[dty_type_cnt5]])</f>
        <v>27</v>
      </c>
    </row>
    <row r="801" spans="1:25" x14ac:dyDescent="0.25">
      <c r="A801" s="15">
        <v>46106</v>
      </c>
      <c r="B801" t="s">
        <v>430</v>
      </c>
      <c r="C801" t="s">
        <v>319</v>
      </c>
      <c r="D801" t="s">
        <v>176</v>
      </c>
      <c r="E801" t="s">
        <v>341</v>
      </c>
      <c r="F801" t="s">
        <v>342</v>
      </c>
      <c r="G801" t="s">
        <v>322</v>
      </c>
      <c r="H801" t="s">
        <v>321</v>
      </c>
      <c r="I801" t="s">
        <v>426</v>
      </c>
      <c r="J801" t="s">
        <v>76</v>
      </c>
      <c r="K801" t="s">
        <v>369</v>
      </c>
      <c r="L801">
        <v>27449</v>
      </c>
      <c r="M801">
        <v>71</v>
      </c>
      <c r="N801">
        <v>16</v>
      </c>
      <c r="O801">
        <v>1442.1990000000001</v>
      </c>
      <c r="P801">
        <v>145.19999999999999</v>
      </c>
      <c r="Q801">
        <v>20</v>
      </c>
      <c r="R801">
        <v>7</v>
      </c>
      <c r="S801" t="s">
        <v>116</v>
      </c>
      <c r="T801">
        <v>7</v>
      </c>
      <c r="U801">
        <v>7</v>
      </c>
      <c r="V801">
        <v>0</v>
      </c>
      <c r="W801">
        <v>0</v>
      </c>
      <c r="X801">
        <v>0</v>
      </c>
      <c r="Y801" s="20">
        <f>SUM(Table1[[#This Row],[dty_type_cnt1]:[dty_type_cnt5]])</f>
        <v>14</v>
      </c>
    </row>
    <row r="802" spans="1:25" x14ac:dyDescent="0.25">
      <c r="A802" s="15">
        <v>46106</v>
      </c>
      <c r="B802" t="s">
        <v>430</v>
      </c>
      <c r="C802" t="s">
        <v>319</v>
      </c>
      <c r="D802" t="s">
        <v>176</v>
      </c>
      <c r="E802" t="s">
        <v>343</v>
      </c>
      <c r="F802" t="s">
        <v>344</v>
      </c>
      <c r="G802" t="s">
        <v>322</v>
      </c>
      <c r="H802" t="s">
        <v>321</v>
      </c>
      <c r="I802" t="s">
        <v>426</v>
      </c>
      <c r="J802" t="s">
        <v>76</v>
      </c>
      <c r="K802" t="s">
        <v>369</v>
      </c>
      <c r="L802">
        <v>27449</v>
      </c>
      <c r="M802">
        <v>106</v>
      </c>
      <c r="N802">
        <v>24</v>
      </c>
      <c r="O802">
        <v>1525.1120000000001</v>
      </c>
      <c r="P802">
        <v>196.7</v>
      </c>
      <c r="Q802">
        <v>15</v>
      </c>
      <c r="R802">
        <v>8</v>
      </c>
      <c r="S802" t="s">
        <v>116</v>
      </c>
      <c r="T802">
        <v>7</v>
      </c>
      <c r="U802">
        <v>7</v>
      </c>
      <c r="V802">
        <v>3</v>
      </c>
      <c r="W802">
        <v>0</v>
      </c>
      <c r="X802">
        <v>0</v>
      </c>
      <c r="Y802" s="20">
        <f>SUM(Table1[[#This Row],[dty_type_cnt1]:[dty_type_cnt5]])</f>
        <v>17</v>
      </c>
    </row>
    <row r="803" spans="1:25" x14ac:dyDescent="0.25">
      <c r="A803" s="15">
        <v>46106</v>
      </c>
      <c r="B803" t="s">
        <v>430</v>
      </c>
      <c r="C803" t="s">
        <v>319</v>
      </c>
      <c r="D803" t="s">
        <v>176</v>
      </c>
      <c r="E803" t="s">
        <v>345</v>
      </c>
      <c r="F803" t="s">
        <v>346</v>
      </c>
      <c r="G803" t="s">
        <v>322</v>
      </c>
      <c r="H803" t="s">
        <v>321</v>
      </c>
      <c r="I803" t="s">
        <v>426</v>
      </c>
      <c r="J803" t="s">
        <v>76</v>
      </c>
      <c r="K803" t="s">
        <v>369</v>
      </c>
      <c r="L803">
        <v>27449</v>
      </c>
      <c r="M803">
        <v>54</v>
      </c>
      <c r="N803">
        <v>8</v>
      </c>
      <c r="O803">
        <v>812.452</v>
      </c>
      <c r="P803">
        <v>76.400000000000006</v>
      </c>
      <c r="Q803">
        <v>30</v>
      </c>
      <c r="R803">
        <v>4</v>
      </c>
      <c r="S803" t="s">
        <v>116</v>
      </c>
      <c r="T803">
        <v>4</v>
      </c>
      <c r="U803">
        <v>4</v>
      </c>
      <c r="V803">
        <v>0</v>
      </c>
      <c r="W803">
        <v>0</v>
      </c>
      <c r="X803">
        <v>0</v>
      </c>
      <c r="Y803" s="20">
        <f>SUM(Table1[[#This Row],[dty_type_cnt1]:[dty_type_cnt5]])</f>
        <v>8</v>
      </c>
    </row>
    <row r="804" spans="1:25" x14ac:dyDescent="0.25">
      <c r="A804" s="15">
        <v>46106</v>
      </c>
      <c r="B804" t="s">
        <v>430</v>
      </c>
      <c r="C804" t="s">
        <v>319</v>
      </c>
      <c r="D804" t="s">
        <v>176</v>
      </c>
      <c r="E804" t="s">
        <v>347</v>
      </c>
      <c r="F804" t="s">
        <v>348</v>
      </c>
      <c r="G804" t="s">
        <v>322</v>
      </c>
      <c r="H804" t="s">
        <v>321</v>
      </c>
      <c r="I804" t="s">
        <v>426</v>
      </c>
      <c r="J804" t="s">
        <v>76</v>
      </c>
      <c r="K804" t="s">
        <v>369</v>
      </c>
      <c r="L804">
        <v>27449</v>
      </c>
      <c r="M804">
        <v>56</v>
      </c>
      <c r="N804">
        <v>6</v>
      </c>
      <c r="O804">
        <v>611.31600000000003</v>
      </c>
      <c r="P804">
        <v>57.3</v>
      </c>
      <c r="Q804">
        <v>30</v>
      </c>
      <c r="R804">
        <v>3</v>
      </c>
      <c r="S804" t="s">
        <v>116</v>
      </c>
      <c r="T804">
        <v>4</v>
      </c>
      <c r="U804">
        <v>2</v>
      </c>
      <c r="V804">
        <v>1</v>
      </c>
      <c r="W804">
        <v>0</v>
      </c>
      <c r="X804">
        <v>0</v>
      </c>
      <c r="Y804" s="20">
        <f>SUM(Table1[[#This Row],[dty_type_cnt1]:[dty_type_cnt5]])</f>
        <v>7</v>
      </c>
    </row>
    <row r="805" spans="1:25" x14ac:dyDescent="0.25">
      <c r="A805" s="15">
        <v>46106</v>
      </c>
      <c r="B805" t="s">
        <v>430</v>
      </c>
      <c r="C805" t="s">
        <v>319</v>
      </c>
      <c r="D805" t="s">
        <v>262</v>
      </c>
      <c r="E805" t="s">
        <v>427</v>
      </c>
      <c r="F805" t="s">
        <v>428</v>
      </c>
      <c r="G805" t="s">
        <v>322</v>
      </c>
      <c r="H805" t="s">
        <v>321</v>
      </c>
      <c r="I805" t="s">
        <v>426</v>
      </c>
      <c r="J805" t="s">
        <v>76</v>
      </c>
      <c r="K805" t="s">
        <v>369</v>
      </c>
      <c r="L805">
        <v>27449</v>
      </c>
      <c r="M805">
        <v>101</v>
      </c>
      <c r="N805">
        <v>10</v>
      </c>
      <c r="O805">
        <v>699.13800000000003</v>
      </c>
      <c r="P805">
        <v>59.6</v>
      </c>
      <c r="Q805">
        <v>20</v>
      </c>
      <c r="R805">
        <v>4</v>
      </c>
      <c r="S805" t="s">
        <v>116</v>
      </c>
      <c r="T805">
        <v>4</v>
      </c>
      <c r="U805">
        <v>3</v>
      </c>
      <c r="V805">
        <v>4</v>
      </c>
      <c r="W805">
        <v>0</v>
      </c>
      <c r="X805">
        <v>0</v>
      </c>
      <c r="Y805" s="20">
        <f>SUM(Table1[[#This Row],[dty_type_cnt1]:[dty_type_cnt5]])</f>
        <v>11</v>
      </c>
    </row>
    <row r="806" spans="1:25" x14ac:dyDescent="0.25">
      <c r="A806" s="15">
        <v>46106</v>
      </c>
      <c r="B806" t="s">
        <v>430</v>
      </c>
      <c r="C806" t="s">
        <v>319</v>
      </c>
      <c r="D806" t="s">
        <v>176</v>
      </c>
      <c r="E806" t="s">
        <v>349</v>
      </c>
      <c r="F806" t="s">
        <v>350</v>
      </c>
      <c r="G806" t="s">
        <v>322</v>
      </c>
      <c r="H806" t="s">
        <v>321</v>
      </c>
      <c r="I806" t="s">
        <v>426</v>
      </c>
      <c r="J806" t="s">
        <v>171</v>
      </c>
      <c r="K806" t="s">
        <v>369</v>
      </c>
      <c r="L806">
        <v>27449</v>
      </c>
      <c r="M806">
        <v>73</v>
      </c>
      <c r="N806">
        <v>8</v>
      </c>
      <c r="O806">
        <v>710.14800000000002</v>
      </c>
      <c r="P806">
        <v>66.3</v>
      </c>
      <c r="Q806">
        <v>30</v>
      </c>
      <c r="R806">
        <v>4</v>
      </c>
      <c r="S806" t="s">
        <v>116</v>
      </c>
      <c r="T806">
        <v>4</v>
      </c>
      <c r="U806">
        <v>4</v>
      </c>
      <c r="V806">
        <v>0</v>
      </c>
      <c r="W806">
        <v>0</v>
      </c>
      <c r="X806">
        <v>0</v>
      </c>
      <c r="Y806" s="20">
        <f>SUM(Table1[[#This Row],[dty_type_cnt1]:[dty_type_cnt5]])</f>
        <v>8</v>
      </c>
    </row>
    <row r="807" spans="1:25" x14ac:dyDescent="0.25">
      <c r="A807" s="15">
        <v>46106</v>
      </c>
      <c r="B807" t="s">
        <v>430</v>
      </c>
      <c r="C807" t="s">
        <v>319</v>
      </c>
      <c r="D807" t="s">
        <v>176</v>
      </c>
      <c r="E807" t="s">
        <v>351</v>
      </c>
      <c r="F807" t="s">
        <v>352</v>
      </c>
      <c r="G807" t="s">
        <v>322</v>
      </c>
      <c r="H807" t="s">
        <v>321</v>
      </c>
      <c r="I807" t="s">
        <v>426</v>
      </c>
      <c r="J807" t="s">
        <v>76</v>
      </c>
      <c r="K807" t="s">
        <v>369</v>
      </c>
      <c r="L807">
        <v>27449</v>
      </c>
      <c r="M807">
        <v>93</v>
      </c>
      <c r="N807">
        <v>20</v>
      </c>
      <c r="O807">
        <v>3086.2669999999998</v>
      </c>
      <c r="P807">
        <v>281.89999999999998</v>
      </c>
      <c r="Q807">
        <v>20</v>
      </c>
      <c r="R807">
        <v>9</v>
      </c>
      <c r="S807" t="s">
        <v>116</v>
      </c>
      <c r="T807">
        <v>11</v>
      </c>
      <c r="U807">
        <v>6</v>
      </c>
      <c r="V807">
        <v>4</v>
      </c>
      <c r="W807">
        <v>0</v>
      </c>
      <c r="X807">
        <v>0</v>
      </c>
      <c r="Y807" s="20">
        <f>SUM(Table1[[#This Row],[dty_type_cnt1]:[dty_type_cnt5]])</f>
        <v>21</v>
      </c>
    </row>
    <row r="808" spans="1:25" x14ac:dyDescent="0.25">
      <c r="A808" s="15">
        <v>46106</v>
      </c>
      <c r="B808" t="s">
        <v>430</v>
      </c>
      <c r="C808" t="s">
        <v>319</v>
      </c>
      <c r="D808" t="s">
        <v>176</v>
      </c>
      <c r="E808" t="s">
        <v>353</v>
      </c>
      <c r="F808" t="s">
        <v>354</v>
      </c>
      <c r="G808" t="s">
        <v>322</v>
      </c>
      <c r="H808" t="s">
        <v>321</v>
      </c>
      <c r="I808" t="s">
        <v>426</v>
      </c>
      <c r="J808" t="s">
        <v>171</v>
      </c>
      <c r="K808" t="s">
        <v>369</v>
      </c>
      <c r="L808">
        <v>27449</v>
      </c>
      <c r="M808">
        <v>32</v>
      </c>
      <c r="N808">
        <v>12</v>
      </c>
      <c r="O808">
        <v>866.81600000000003</v>
      </c>
      <c r="P808">
        <v>68.400000000000006</v>
      </c>
      <c r="Q808">
        <v>60</v>
      </c>
      <c r="R808">
        <v>3</v>
      </c>
      <c r="S808" t="s">
        <v>116</v>
      </c>
      <c r="T808">
        <v>3</v>
      </c>
      <c r="U808">
        <v>3</v>
      </c>
      <c r="V808">
        <v>0</v>
      </c>
      <c r="W808">
        <v>0</v>
      </c>
      <c r="X808">
        <v>0</v>
      </c>
      <c r="Y808" s="20">
        <f>SUM(Table1[[#This Row],[dty_type_cnt1]:[dty_type_cnt5]])</f>
        <v>6</v>
      </c>
    </row>
    <row r="809" spans="1:25" x14ac:dyDescent="0.25">
      <c r="A809" s="15">
        <v>46106</v>
      </c>
      <c r="B809" t="s">
        <v>430</v>
      </c>
      <c r="C809" t="s">
        <v>319</v>
      </c>
      <c r="D809" t="s">
        <v>176</v>
      </c>
      <c r="E809" t="s">
        <v>355</v>
      </c>
      <c r="F809" t="s">
        <v>356</v>
      </c>
      <c r="G809" t="s">
        <v>322</v>
      </c>
      <c r="H809" t="s">
        <v>321</v>
      </c>
      <c r="I809" t="s">
        <v>426</v>
      </c>
      <c r="J809" t="s">
        <v>171</v>
      </c>
      <c r="K809" t="s">
        <v>369</v>
      </c>
      <c r="L809">
        <v>27449</v>
      </c>
      <c r="M809">
        <v>20</v>
      </c>
      <c r="N809">
        <v>6</v>
      </c>
      <c r="O809">
        <v>2410.69</v>
      </c>
      <c r="P809">
        <v>0.6</v>
      </c>
      <c r="Q809">
        <v>100</v>
      </c>
      <c r="R809">
        <v>3</v>
      </c>
      <c r="S809" t="s">
        <v>116</v>
      </c>
      <c r="T809">
        <v>4</v>
      </c>
      <c r="U809">
        <v>2</v>
      </c>
      <c r="V809">
        <v>1</v>
      </c>
      <c r="W809">
        <v>0</v>
      </c>
      <c r="X809">
        <v>0</v>
      </c>
      <c r="Y809" s="20">
        <f>SUM(Table1[[#This Row],[dty_type_cnt1]:[dty_type_cnt5]])</f>
        <v>7</v>
      </c>
    </row>
    <row r="810" spans="1:25" x14ac:dyDescent="0.25">
      <c r="A810" s="15">
        <v>46106</v>
      </c>
      <c r="B810" t="s">
        <v>430</v>
      </c>
      <c r="C810" t="s">
        <v>319</v>
      </c>
      <c r="D810" t="s">
        <v>54</v>
      </c>
      <c r="E810" t="s">
        <v>92</v>
      </c>
      <c r="F810" t="s">
        <v>357</v>
      </c>
      <c r="G810" t="s">
        <v>322</v>
      </c>
      <c r="H810" t="s">
        <v>321</v>
      </c>
      <c r="I810" t="s">
        <v>426</v>
      </c>
      <c r="J810" t="s">
        <v>76</v>
      </c>
      <c r="K810" t="s">
        <v>369</v>
      </c>
      <c r="L810">
        <v>27449</v>
      </c>
      <c r="M810">
        <v>201</v>
      </c>
      <c r="N810">
        <v>22</v>
      </c>
      <c r="O810">
        <v>831.63099999999997</v>
      </c>
      <c r="P810">
        <v>81.400000000000006</v>
      </c>
      <c r="Q810">
        <v>10</v>
      </c>
      <c r="R810">
        <v>8</v>
      </c>
      <c r="S810" t="s">
        <v>116</v>
      </c>
      <c r="T810">
        <v>7</v>
      </c>
      <c r="U810">
        <v>6</v>
      </c>
      <c r="V810">
        <v>2</v>
      </c>
      <c r="W810">
        <v>0</v>
      </c>
      <c r="X810">
        <v>0</v>
      </c>
      <c r="Y810" s="20">
        <f>SUM(Table1[[#This Row],[dty_type_cnt1]:[dty_type_cnt5]])</f>
        <v>15</v>
      </c>
    </row>
    <row r="811" spans="1:25" x14ac:dyDescent="0.25">
      <c r="A811" s="15">
        <v>46106</v>
      </c>
      <c r="B811" t="s">
        <v>430</v>
      </c>
      <c r="C811" t="s">
        <v>319</v>
      </c>
      <c r="D811" t="s">
        <v>54</v>
      </c>
      <c r="E811" t="s">
        <v>93</v>
      </c>
      <c r="F811" t="s">
        <v>358</v>
      </c>
      <c r="G811" t="s">
        <v>322</v>
      </c>
      <c r="H811" t="s">
        <v>321</v>
      </c>
      <c r="I811" t="s">
        <v>426</v>
      </c>
      <c r="J811" t="s">
        <v>76</v>
      </c>
      <c r="K811" t="s">
        <v>369</v>
      </c>
      <c r="L811">
        <v>27449</v>
      </c>
      <c r="M811">
        <v>147</v>
      </c>
      <c r="N811">
        <v>22</v>
      </c>
      <c r="O811">
        <v>485.06200000000001</v>
      </c>
      <c r="P811">
        <v>84.4</v>
      </c>
      <c r="Q811">
        <v>7</v>
      </c>
      <c r="R811">
        <v>7</v>
      </c>
      <c r="S811" t="s">
        <v>116</v>
      </c>
      <c r="T811">
        <v>5</v>
      </c>
      <c r="U811">
        <v>7</v>
      </c>
      <c r="V811">
        <v>0</v>
      </c>
      <c r="W811">
        <v>0</v>
      </c>
      <c r="X811">
        <v>0</v>
      </c>
      <c r="Y811" s="20">
        <f>SUM(Table1[[#This Row],[dty_type_cnt1]:[dty_type_cnt5]])</f>
        <v>12</v>
      </c>
    </row>
    <row r="812" spans="1:25" x14ac:dyDescent="0.25">
      <c r="A812" s="15">
        <v>46106</v>
      </c>
      <c r="B812" t="s">
        <v>430</v>
      </c>
      <c r="C812" t="s">
        <v>319</v>
      </c>
      <c r="D812" t="s">
        <v>262</v>
      </c>
      <c r="E812" t="s">
        <v>359</v>
      </c>
      <c r="F812" t="s">
        <v>336</v>
      </c>
      <c r="G812" t="s">
        <v>322</v>
      </c>
      <c r="H812" t="s">
        <v>321</v>
      </c>
      <c r="I812" t="s">
        <v>426</v>
      </c>
      <c r="J812" t="s">
        <v>171</v>
      </c>
      <c r="K812" t="s">
        <v>369</v>
      </c>
      <c r="L812">
        <v>27449</v>
      </c>
      <c r="M812">
        <v>18</v>
      </c>
      <c r="N812">
        <v>6</v>
      </c>
      <c r="O812">
        <v>2439.261</v>
      </c>
      <c r="P812">
        <v>21.2</v>
      </c>
      <c r="Q812">
        <v>120</v>
      </c>
      <c r="R812">
        <v>3</v>
      </c>
      <c r="S812" t="s">
        <v>116</v>
      </c>
      <c r="T812">
        <v>4</v>
      </c>
      <c r="U812">
        <v>2</v>
      </c>
      <c r="V812">
        <v>3</v>
      </c>
      <c r="W812">
        <v>0</v>
      </c>
      <c r="X812">
        <v>0</v>
      </c>
      <c r="Y812" s="20">
        <f>SUM(Table1[[#This Row],[dty_type_cnt1]:[dty_type_cnt5]])</f>
        <v>9</v>
      </c>
    </row>
    <row r="813" spans="1:25" x14ac:dyDescent="0.25">
      <c r="A813" s="15">
        <v>46106</v>
      </c>
      <c r="B813" t="s">
        <v>430</v>
      </c>
      <c r="C813" t="s">
        <v>319</v>
      </c>
      <c r="D813" t="s">
        <v>406</v>
      </c>
      <c r="E813" t="s">
        <v>360</v>
      </c>
      <c r="F813" t="s">
        <v>361</v>
      </c>
      <c r="G813" t="s">
        <v>322</v>
      </c>
      <c r="H813" t="s">
        <v>321</v>
      </c>
      <c r="I813" t="s">
        <v>426</v>
      </c>
      <c r="J813" t="s">
        <v>171</v>
      </c>
      <c r="K813" t="s">
        <v>369</v>
      </c>
      <c r="L813">
        <v>27449</v>
      </c>
      <c r="M813">
        <v>14</v>
      </c>
      <c r="N813">
        <v>6</v>
      </c>
      <c r="O813">
        <v>1876.546</v>
      </c>
      <c r="P813">
        <v>130.80000000000001</v>
      </c>
      <c r="Q813">
        <v>120</v>
      </c>
      <c r="R813">
        <v>3</v>
      </c>
      <c r="S813" t="s">
        <v>116</v>
      </c>
      <c r="T813">
        <v>3</v>
      </c>
      <c r="U813">
        <v>2</v>
      </c>
      <c r="V813">
        <v>2</v>
      </c>
      <c r="W813">
        <v>0</v>
      </c>
      <c r="X813">
        <v>0</v>
      </c>
      <c r="Y813" s="20">
        <f>SUM(Table1[[#This Row],[dty_type_cnt1]:[dty_type_cnt5]])</f>
        <v>7</v>
      </c>
    </row>
    <row r="814" spans="1:25" x14ac:dyDescent="0.25">
      <c r="A814" s="15">
        <v>46106</v>
      </c>
      <c r="B814" t="s">
        <v>430</v>
      </c>
      <c r="C814" t="s">
        <v>319</v>
      </c>
      <c r="D814" t="s">
        <v>362</v>
      </c>
      <c r="E814" t="s">
        <v>363</v>
      </c>
      <c r="F814" t="s">
        <v>364</v>
      </c>
      <c r="G814" t="s">
        <v>322</v>
      </c>
      <c r="H814" t="s">
        <v>321</v>
      </c>
      <c r="I814" t="s">
        <v>426</v>
      </c>
      <c r="J814" t="s">
        <v>63</v>
      </c>
      <c r="K814" t="s">
        <v>369</v>
      </c>
      <c r="L814">
        <v>27449</v>
      </c>
      <c r="M814">
        <v>50</v>
      </c>
      <c r="N814">
        <v>6</v>
      </c>
      <c r="O814">
        <v>508.125</v>
      </c>
      <c r="P814">
        <v>14.2</v>
      </c>
      <c r="Q814">
        <v>30</v>
      </c>
      <c r="R814">
        <v>2</v>
      </c>
      <c r="S814" t="s">
        <v>116</v>
      </c>
      <c r="T814">
        <v>2</v>
      </c>
      <c r="U814">
        <v>2</v>
      </c>
      <c r="V814">
        <v>0</v>
      </c>
      <c r="W814">
        <v>0</v>
      </c>
      <c r="X814">
        <v>0</v>
      </c>
      <c r="Y814" s="20">
        <f>SUM(Table1[[#This Row],[dty_type_cnt1]:[dty_type_cnt5]])</f>
        <v>4</v>
      </c>
    </row>
    <row r="815" spans="1:25" x14ac:dyDescent="0.25">
      <c r="A815" s="15">
        <v>46106</v>
      </c>
      <c r="B815" t="s">
        <v>430</v>
      </c>
      <c r="C815" t="s">
        <v>319</v>
      </c>
      <c r="D815" t="s">
        <v>406</v>
      </c>
      <c r="E815" t="s">
        <v>365</v>
      </c>
      <c r="F815" t="s">
        <v>366</v>
      </c>
      <c r="G815" t="s">
        <v>322</v>
      </c>
      <c r="H815" t="s">
        <v>321</v>
      </c>
      <c r="I815" t="s">
        <v>426</v>
      </c>
      <c r="J815" t="s">
        <v>63</v>
      </c>
      <c r="K815" t="s">
        <v>369</v>
      </c>
      <c r="L815">
        <v>27449</v>
      </c>
      <c r="M815">
        <v>29</v>
      </c>
      <c r="N815">
        <v>32</v>
      </c>
      <c r="O815">
        <v>836.96900000000005</v>
      </c>
      <c r="P815">
        <v>3.278</v>
      </c>
      <c r="Q815">
        <v>30</v>
      </c>
      <c r="R815">
        <v>3</v>
      </c>
      <c r="S815" t="s">
        <v>116</v>
      </c>
      <c r="T815">
        <v>3</v>
      </c>
      <c r="U815">
        <v>3</v>
      </c>
      <c r="V815">
        <v>0</v>
      </c>
      <c r="W815">
        <v>0</v>
      </c>
      <c r="X815">
        <v>0</v>
      </c>
      <c r="Y815" s="20">
        <f>SUM(Table1[[#This Row],[dty_type_cnt1]:[dty_type_cnt5]])</f>
        <v>6</v>
      </c>
    </row>
    <row r="816" spans="1:25" x14ac:dyDescent="0.25">
      <c r="A816" s="15">
        <v>46106</v>
      </c>
      <c r="B816" t="s">
        <v>430</v>
      </c>
      <c r="C816" t="s">
        <v>319</v>
      </c>
      <c r="D816" t="s">
        <v>101</v>
      </c>
      <c r="E816" t="s">
        <v>102</v>
      </c>
      <c r="F816" t="s">
        <v>103</v>
      </c>
      <c r="G816" t="s">
        <v>322</v>
      </c>
      <c r="H816" t="s">
        <v>321</v>
      </c>
      <c r="I816" t="s">
        <v>426</v>
      </c>
      <c r="J816" t="s">
        <v>171</v>
      </c>
      <c r="K816" t="s">
        <v>369</v>
      </c>
      <c r="L816">
        <v>27449</v>
      </c>
      <c r="M816">
        <v>16</v>
      </c>
      <c r="N816">
        <v>6</v>
      </c>
      <c r="O816">
        <v>523.54399999999998</v>
      </c>
      <c r="P816">
        <v>45.3</v>
      </c>
      <c r="Q816">
        <v>60</v>
      </c>
      <c r="R816">
        <v>3</v>
      </c>
      <c r="S816" t="s">
        <v>116</v>
      </c>
      <c r="T816">
        <v>0</v>
      </c>
      <c r="U816">
        <v>0</v>
      </c>
      <c r="V816">
        <v>3</v>
      </c>
      <c r="W816">
        <v>0</v>
      </c>
      <c r="X816">
        <v>0</v>
      </c>
      <c r="Y816" s="20">
        <f>SUM(Table1[[#This Row],[dty_type_cnt1]:[dty_type_cnt5]])</f>
        <v>3</v>
      </c>
    </row>
    <row r="817" spans="1:25" x14ac:dyDescent="0.25">
      <c r="A817" s="15">
        <v>46106</v>
      </c>
      <c r="B817" t="s">
        <v>430</v>
      </c>
      <c r="C817" t="s">
        <v>319</v>
      </c>
      <c r="D817" t="s">
        <v>262</v>
      </c>
      <c r="E817" t="s">
        <v>367</v>
      </c>
      <c r="F817" t="s">
        <v>368</v>
      </c>
      <c r="G817" t="s">
        <v>322</v>
      </c>
      <c r="H817" t="s">
        <v>321</v>
      </c>
      <c r="I817" t="s">
        <v>426</v>
      </c>
      <c r="J817" t="s">
        <v>171</v>
      </c>
      <c r="K817" t="s">
        <v>369</v>
      </c>
      <c r="L817">
        <v>27449</v>
      </c>
      <c r="M817">
        <v>22</v>
      </c>
      <c r="N817">
        <v>10</v>
      </c>
      <c r="O817">
        <v>795.52</v>
      </c>
      <c r="P817">
        <v>215</v>
      </c>
      <c r="Q817">
        <v>60</v>
      </c>
      <c r="R817">
        <v>5</v>
      </c>
      <c r="S817" t="s">
        <v>116</v>
      </c>
      <c r="T817">
        <v>5</v>
      </c>
      <c r="U817">
        <v>3</v>
      </c>
      <c r="V817">
        <v>2</v>
      </c>
      <c r="W817">
        <v>0</v>
      </c>
      <c r="X817">
        <v>0</v>
      </c>
      <c r="Y817" s="20">
        <f>SUM(Table1[[#This Row],[dty_type_cnt1]:[dty_type_cnt5]])</f>
        <v>10</v>
      </c>
    </row>
    <row r="818" spans="1:25" x14ac:dyDescent="0.25">
      <c r="A818" s="15">
        <v>46106</v>
      </c>
      <c r="B818" t="s">
        <v>430</v>
      </c>
      <c r="C818" t="s">
        <v>319</v>
      </c>
      <c r="D818" t="s">
        <v>46</v>
      </c>
      <c r="E818">
        <v>5</v>
      </c>
      <c r="F818" t="s">
        <v>112</v>
      </c>
      <c r="G818" t="s">
        <v>322</v>
      </c>
      <c r="H818" t="s">
        <v>321</v>
      </c>
      <c r="I818" t="s">
        <v>426</v>
      </c>
      <c r="J818" t="s">
        <v>156</v>
      </c>
      <c r="K818" t="s">
        <v>1</v>
      </c>
      <c r="L818">
        <v>27448</v>
      </c>
      <c r="M818">
        <v>14</v>
      </c>
      <c r="N818">
        <v>8</v>
      </c>
      <c r="O818">
        <v>111.21599999999999</v>
      </c>
      <c r="P818">
        <v>35.700000000000003</v>
      </c>
      <c r="Q818">
        <v>20</v>
      </c>
      <c r="R818">
        <v>2</v>
      </c>
      <c r="S818" t="s">
        <v>116</v>
      </c>
      <c r="T818">
        <v>2</v>
      </c>
      <c r="U818">
        <v>0</v>
      </c>
      <c r="V818">
        <v>2</v>
      </c>
      <c r="W818">
        <v>0</v>
      </c>
      <c r="X818">
        <v>0</v>
      </c>
      <c r="Y818" s="20">
        <f>SUM(Table1[[#This Row],[dty_type_cnt1]:[dty_type_cnt5]])</f>
        <v>4</v>
      </c>
    </row>
    <row r="819" spans="1:25" x14ac:dyDescent="0.25">
      <c r="A819" s="15">
        <v>46106</v>
      </c>
      <c r="B819" t="s">
        <v>430</v>
      </c>
      <c r="C819" t="s">
        <v>319</v>
      </c>
      <c r="D819" t="s">
        <v>46</v>
      </c>
      <c r="E819">
        <v>6</v>
      </c>
      <c r="F819" t="s">
        <v>324</v>
      </c>
      <c r="G819" t="s">
        <v>322</v>
      </c>
      <c r="H819" t="s">
        <v>321</v>
      </c>
      <c r="I819" t="s">
        <v>426</v>
      </c>
      <c r="J819" t="s">
        <v>63</v>
      </c>
      <c r="K819" t="s">
        <v>1</v>
      </c>
      <c r="L819">
        <v>27448</v>
      </c>
      <c r="M819">
        <v>39</v>
      </c>
      <c r="N819">
        <v>4</v>
      </c>
      <c r="O819">
        <v>371.82600000000002</v>
      </c>
      <c r="P819">
        <v>55.6</v>
      </c>
      <c r="Q819">
        <v>30</v>
      </c>
      <c r="R819">
        <v>2</v>
      </c>
      <c r="S819" t="s">
        <v>116</v>
      </c>
      <c r="T819">
        <v>2</v>
      </c>
      <c r="U819">
        <v>1</v>
      </c>
      <c r="V819">
        <v>1</v>
      </c>
      <c r="W819">
        <v>0</v>
      </c>
      <c r="X819">
        <v>0</v>
      </c>
      <c r="Y819" s="20">
        <f>SUM(Table1[[#This Row],[dty_type_cnt1]:[dty_type_cnt5]])</f>
        <v>4</v>
      </c>
    </row>
    <row r="820" spans="1:25" x14ac:dyDescent="0.25">
      <c r="A820" s="15">
        <v>46106</v>
      </c>
      <c r="B820" t="s">
        <v>430</v>
      </c>
      <c r="C820" t="s">
        <v>319</v>
      </c>
      <c r="D820" t="s">
        <v>46</v>
      </c>
      <c r="E820">
        <v>18</v>
      </c>
      <c r="F820" t="s">
        <v>325</v>
      </c>
      <c r="G820" t="s">
        <v>322</v>
      </c>
      <c r="H820" t="s">
        <v>321</v>
      </c>
      <c r="I820" t="s">
        <v>426</v>
      </c>
      <c r="J820" t="s">
        <v>63</v>
      </c>
      <c r="K820" t="s">
        <v>1</v>
      </c>
      <c r="L820">
        <v>27448</v>
      </c>
      <c r="M820">
        <v>28</v>
      </c>
      <c r="N820">
        <v>10</v>
      </c>
      <c r="O820">
        <v>370.27300000000002</v>
      </c>
      <c r="P820">
        <v>48.1</v>
      </c>
      <c r="Q820">
        <v>20</v>
      </c>
      <c r="R820">
        <v>5</v>
      </c>
      <c r="S820" t="s">
        <v>116</v>
      </c>
      <c r="T820">
        <v>5</v>
      </c>
      <c r="U820">
        <v>0</v>
      </c>
      <c r="V820">
        <v>0</v>
      </c>
      <c r="W820">
        <v>0</v>
      </c>
      <c r="X820">
        <v>0</v>
      </c>
      <c r="Y820" s="20">
        <f>SUM(Table1[[#This Row],[dty_type_cnt1]:[dty_type_cnt5]])</f>
        <v>5</v>
      </c>
    </row>
    <row r="821" spans="1:25" x14ac:dyDescent="0.25">
      <c r="A821" s="15">
        <v>46106</v>
      </c>
      <c r="B821" t="s">
        <v>430</v>
      </c>
      <c r="C821" t="s">
        <v>319</v>
      </c>
      <c r="D821" t="s">
        <v>46</v>
      </c>
      <c r="E821">
        <v>19</v>
      </c>
      <c r="F821" t="s">
        <v>326</v>
      </c>
      <c r="G821" t="s">
        <v>322</v>
      </c>
      <c r="H821" t="s">
        <v>321</v>
      </c>
      <c r="I821" t="s">
        <v>426</v>
      </c>
      <c r="J821" t="s">
        <v>63</v>
      </c>
      <c r="K821" t="s">
        <v>1</v>
      </c>
      <c r="L821">
        <v>27448</v>
      </c>
      <c r="M821">
        <v>28</v>
      </c>
      <c r="N821">
        <v>10</v>
      </c>
      <c r="O821">
        <v>318.45800000000003</v>
      </c>
      <c r="P821">
        <v>43.6</v>
      </c>
      <c r="Q821">
        <v>21</v>
      </c>
      <c r="R821">
        <v>5</v>
      </c>
      <c r="S821" t="s">
        <v>116</v>
      </c>
      <c r="T821">
        <v>5</v>
      </c>
      <c r="U821">
        <v>0</v>
      </c>
      <c r="V821">
        <v>0</v>
      </c>
      <c r="W821">
        <v>0</v>
      </c>
      <c r="X821">
        <v>0</v>
      </c>
      <c r="Y821" s="20">
        <f>SUM(Table1[[#This Row],[dty_type_cnt1]:[dty_type_cnt5]])</f>
        <v>5</v>
      </c>
    </row>
    <row r="822" spans="1:25" x14ac:dyDescent="0.25">
      <c r="A822" s="15">
        <v>46106</v>
      </c>
      <c r="B822" t="s">
        <v>430</v>
      </c>
      <c r="C822" t="s">
        <v>319</v>
      </c>
      <c r="D822" t="s">
        <v>46</v>
      </c>
      <c r="E822">
        <v>25</v>
      </c>
      <c r="F822" t="s">
        <v>111</v>
      </c>
      <c r="G822" t="s">
        <v>322</v>
      </c>
      <c r="H822" t="s">
        <v>321</v>
      </c>
      <c r="I822" t="s">
        <v>426</v>
      </c>
      <c r="J822" t="s">
        <v>171</v>
      </c>
      <c r="K822" t="s">
        <v>1</v>
      </c>
      <c r="L822">
        <v>27448</v>
      </c>
      <c r="M822">
        <v>81</v>
      </c>
      <c r="N822">
        <v>14</v>
      </c>
      <c r="O822">
        <v>1152.9110000000001</v>
      </c>
      <c r="P822">
        <v>155.30000000000001</v>
      </c>
      <c r="Q822">
        <v>25</v>
      </c>
      <c r="R822">
        <v>7</v>
      </c>
      <c r="S822" t="s">
        <v>116</v>
      </c>
      <c r="T822">
        <v>5</v>
      </c>
      <c r="U822">
        <v>6</v>
      </c>
      <c r="V822">
        <v>1</v>
      </c>
      <c r="W822">
        <v>0</v>
      </c>
      <c r="X822">
        <v>0</v>
      </c>
      <c r="Y822" s="20">
        <f>SUM(Table1[[#This Row],[dty_type_cnt1]:[dty_type_cnt5]])</f>
        <v>12</v>
      </c>
    </row>
    <row r="823" spans="1:25" x14ac:dyDescent="0.25">
      <c r="A823" s="15">
        <v>46106</v>
      </c>
      <c r="B823" t="s">
        <v>430</v>
      </c>
      <c r="C823" t="s">
        <v>319</v>
      </c>
      <c r="D823" t="s">
        <v>46</v>
      </c>
      <c r="E823" t="s">
        <v>327</v>
      </c>
      <c r="F823" t="s">
        <v>328</v>
      </c>
      <c r="G823" t="s">
        <v>322</v>
      </c>
      <c r="H823" t="s">
        <v>321</v>
      </c>
      <c r="I823" t="s">
        <v>426</v>
      </c>
      <c r="J823" t="s">
        <v>0</v>
      </c>
      <c r="K823" t="s">
        <v>1</v>
      </c>
      <c r="L823">
        <v>27448</v>
      </c>
      <c r="M823">
        <v>44</v>
      </c>
      <c r="N823">
        <v>10</v>
      </c>
      <c r="O823">
        <v>647.72400000000005</v>
      </c>
      <c r="P823">
        <v>39.5</v>
      </c>
      <c r="Q823">
        <v>20</v>
      </c>
      <c r="R823">
        <v>4</v>
      </c>
      <c r="S823" t="s">
        <v>116</v>
      </c>
      <c r="T823">
        <v>4</v>
      </c>
      <c r="U823">
        <v>3</v>
      </c>
      <c r="V823">
        <v>1</v>
      </c>
      <c r="W823">
        <v>0</v>
      </c>
      <c r="X823">
        <v>0</v>
      </c>
      <c r="Y823" s="20">
        <f>SUM(Table1[[#This Row],[dty_type_cnt1]:[dty_type_cnt5]])</f>
        <v>8</v>
      </c>
    </row>
    <row r="824" spans="1:25" x14ac:dyDescent="0.25">
      <c r="A824" s="15">
        <v>46106</v>
      </c>
      <c r="B824" t="s">
        <v>430</v>
      </c>
      <c r="C824" t="s">
        <v>319</v>
      </c>
      <c r="D824" t="s">
        <v>46</v>
      </c>
      <c r="E824" t="s">
        <v>329</v>
      </c>
      <c r="F824" t="s">
        <v>330</v>
      </c>
      <c r="G824" t="s">
        <v>322</v>
      </c>
      <c r="H824" t="s">
        <v>321</v>
      </c>
      <c r="I824" t="s">
        <v>426</v>
      </c>
      <c r="J824" t="s">
        <v>0</v>
      </c>
      <c r="K824" t="s">
        <v>1</v>
      </c>
      <c r="L824">
        <v>27448</v>
      </c>
      <c r="M824">
        <v>15</v>
      </c>
      <c r="N824">
        <v>12</v>
      </c>
      <c r="O824">
        <v>433.14</v>
      </c>
      <c r="P824">
        <v>42.9</v>
      </c>
      <c r="Q824">
        <v>30</v>
      </c>
      <c r="R824">
        <v>3</v>
      </c>
      <c r="S824" t="s">
        <v>116</v>
      </c>
      <c r="T824">
        <v>3</v>
      </c>
      <c r="U824">
        <v>2</v>
      </c>
      <c r="V824">
        <v>1</v>
      </c>
      <c r="W824">
        <v>0</v>
      </c>
      <c r="X824">
        <v>0</v>
      </c>
      <c r="Y824" s="20">
        <f>SUM(Table1[[#This Row],[dty_type_cnt1]:[dty_type_cnt5]])</f>
        <v>6</v>
      </c>
    </row>
    <row r="825" spans="1:25" x14ac:dyDescent="0.25">
      <c r="A825" s="15">
        <v>46106</v>
      </c>
      <c r="B825" t="s">
        <v>430</v>
      </c>
      <c r="C825" t="s">
        <v>319</v>
      </c>
      <c r="D825" t="s">
        <v>46</v>
      </c>
      <c r="E825" t="s">
        <v>56</v>
      </c>
      <c r="F825" t="s">
        <v>57</v>
      </c>
      <c r="G825" t="s">
        <v>322</v>
      </c>
      <c r="H825" t="s">
        <v>321</v>
      </c>
      <c r="I825" t="s">
        <v>426</v>
      </c>
      <c r="J825" t="s">
        <v>0</v>
      </c>
      <c r="K825" t="s">
        <v>1</v>
      </c>
      <c r="L825">
        <v>27448</v>
      </c>
      <c r="M825">
        <v>4</v>
      </c>
      <c r="N825">
        <v>2</v>
      </c>
      <c r="O825">
        <v>69.384</v>
      </c>
      <c r="P825">
        <v>14.1</v>
      </c>
      <c r="Q825">
        <v>20</v>
      </c>
      <c r="R825">
        <v>1</v>
      </c>
      <c r="S825" t="s">
        <v>116</v>
      </c>
      <c r="T825">
        <v>0</v>
      </c>
      <c r="U825">
        <v>1</v>
      </c>
      <c r="V825">
        <v>0</v>
      </c>
      <c r="W825">
        <v>0</v>
      </c>
      <c r="X825">
        <v>0</v>
      </c>
      <c r="Y825" s="20">
        <f>SUM(Table1[[#This Row],[dty_type_cnt1]:[dty_type_cnt5]])</f>
        <v>1</v>
      </c>
    </row>
    <row r="826" spans="1:25" x14ac:dyDescent="0.25">
      <c r="A826" s="15">
        <v>46106</v>
      </c>
      <c r="B826" t="s">
        <v>430</v>
      </c>
      <c r="C826" t="s">
        <v>319</v>
      </c>
      <c r="D826" t="s">
        <v>176</v>
      </c>
      <c r="E826" t="s">
        <v>331</v>
      </c>
      <c r="F826" t="s">
        <v>332</v>
      </c>
      <c r="G826" t="s">
        <v>322</v>
      </c>
      <c r="H826" t="s">
        <v>321</v>
      </c>
      <c r="I826" t="s">
        <v>426</v>
      </c>
      <c r="J826" t="s">
        <v>171</v>
      </c>
      <c r="K826" t="s">
        <v>1</v>
      </c>
      <c r="L826">
        <v>27448</v>
      </c>
      <c r="M826">
        <v>92</v>
      </c>
      <c r="N826">
        <v>24</v>
      </c>
      <c r="O826">
        <v>13662.552</v>
      </c>
      <c r="P826">
        <v>175</v>
      </c>
      <c r="Q826">
        <v>25</v>
      </c>
      <c r="R826">
        <v>12</v>
      </c>
      <c r="S826" t="s">
        <v>116</v>
      </c>
      <c r="T826">
        <v>21</v>
      </c>
      <c r="U826">
        <v>9</v>
      </c>
      <c r="V826">
        <v>12</v>
      </c>
      <c r="W826">
        <v>0</v>
      </c>
      <c r="X826">
        <v>0</v>
      </c>
      <c r="Y826" s="20">
        <f>SUM(Table1[[#This Row],[dty_type_cnt1]:[dty_type_cnt5]])</f>
        <v>42</v>
      </c>
    </row>
    <row r="827" spans="1:25" x14ac:dyDescent="0.25">
      <c r="A827" s="15">
        <v>46107</v>
      </c>
      <c r="B827" t="s">
        <v>430</v>
      </c>
      <c r="C827" t="s">
        <v>319</v>
      </c>
      <c r="D827" t="s">
        <v>176</v>
      </c>
      <c r="E827" t="s">
        <v>333</v>
      </c>
      <c r="F827" t="s">
        <v>334</v>
      </c>
      <c r="G827" t="s">
        <v>322</v>
      </c>
      <c r="H827" t="s">
        <v>321</v>
      </c>
      <c r="I827" t="s">
        <v>426</v>
      </c>
      <c r="J827" t="s">
        <v>171</v>
      </c>
      <c r="K827" t="s">
        <v>1</v>
      </c>
      <c r="L827">
        <v>27448</v>
      </c>
      <c r="M827">
        <v>74</v>
      </c>
      <c r="N827">
        <v>22</v>
      </c>
      <c r="O827">
        <v>9595.7569999999996</v>
      </c>
      <c r="P827">
        <v>404.8</v>
      </c>
      <c r="Q827">
        <v>30</v>
      </c>
      <c r="R827">
        <v>11</v>
      </c>
      <c r="S827" t="s">
        <v>116</v>
      </c>
      <c r="T827">
        <v>11</v>
      </c>
      <c r="U827">
        <v>9</v>
      </c>
      <c r="V827">
        <v>15</v>
      </c>
      <c r="W827">
        <v>0</v>
      </c>
      <c r="X827">
        <v>0</v>
      </c>
      <c r="Y827" s="20">
        <f>SUM(Table1[[#This Row],[dty_type_cnt1]:[dty_type_cnt5]])</f>
        <v>35</v>
      </c>
    </row>
    <row r="828" spans="1:25" x14ac:dyDescent="0.25">
      <c r="A828" s="15">
        <v>46107</v>
      </c>
      <c r="B828" t="s">
        <v>430</v>
      </c>
      <c r="C828" t="s">
        <v>319</v>
      </c>
      <c r="D828" t="s">
        <v>46</v>
      </c>
      <c r="E828" t="s">
        <v>335</v>
      </c>
      <c r="F828" t="s">
        <v>336</v>
      </c>
      <c r="G828" t="s">
        <v>322</v>
      </c>
      <c r="H828" t="s">
        <v>321</v>
      </c>
      <c r="I828" t="s">
        <v>426</v>
      </c>
      <c r="J828" t="s">
        <v>171</v>
      </c>
      <c r="K828" t="s">
        <v>1</v>
      </c>
      <c r="L828">
        <v>27448</v>
      </c>
      <c r="M828">
        <v>18</v>
      </c>
      <c r="N828">
        <v>8</v>
      </c>
      <c r="O828">
        <v>3027.8429999999998</v>
      </c>
      <c r="P828">
        <v>42</v>
      </c>
      <c r="Q828">
        <v>115</v>
      </c>
      <c r="R828">
        <v>4</v>
      </c>
      <c r="S828" t="s">
        <v>116</v>
      </c>
      <c r="T828">
        <v>4</v>
      </c>
      <c r="U828">
        <v>2</v>
      </c>
      <c r="V828">
        <v>3</v>
      </c>
      <c r="W828">
        <v>0</v>
      </c>
      <c r="X828">
        <v>0</v>
      </c>
      <c r="Y828" s="20">
        <f>SUM(Table1[[#This Row],[dty_type_cnt1]:[dty_type_cnt5]])</f>
        <v>9</v>
      </c>
    </row>
    <row r="829" spans="1:25" x14ac:dyDescent="0.25">
      <c r="A829" s="15">
        <v>46107</v>
      </c>
      <c r="B829" t="s">
        <v>430</v>
      </c>
      <c r="C829" t="s">
        <v>319</v>
      </c>
      <c r="D829" t="s">
        <v>176</v>
      </c>
      <c r="E829" t="s">
        <v>337</v>
      </c>
      <c r="F829" t="s">
        <v>338</v>
      </c>
      <c r="G829" t="s">
        <v>322</v>
      </c>
      <c r="H829" t="s">
        <v>321</v>
      </c>
      <c r="I829" t="s">
        <v>426</v>
      </c>
      <c r="J829" t="s">
        <v>171</v>
      </c>
      <c r="K829" t="s">
        <v>1</v>
      </c>
      <c r="L829">
        <v>27448</v>
      </c>
      <c r="M829">
        <v>40</v>
      </c>
      <c r="N829">
        <v>12</v>
      </c>
      <c r="O829">
        <v>5566</v>
      </c>
      <c r="P829">
        <v>210</v>
      </c>
      <c r="Q829">
        <v>55</v>
      </c>
      <c r="R829">
        <v>6</v>
      </c>
      <c r="S829" t="s">
        <v>116</v>
      </c>
      <c r="T829">
        <v>10</v>
      </c>
      <c r="U829">
        <v>4</v>
      </c>
      <c r="V829">
        <v>6</v>
      </c>
      <c r="W829">
        <v>0</v>
      </c>
      <c r="X829">
        <v>0</v>
      </c>
      <c r="Y829" s="20">
        <f>SUM(Table1[[#This Row],[dty_type_cnt1]:[dty_type_cnt5]])</f>
        <v>20</v>
      </c>
    </row>
    <row r="830" spans="1:25" x14ac:dyDescent="0.25">
      <c r="A830" s="15">
        <v>46107</v>
      </c>
      <c r="B830" t="s">
        <v>430</v>
      </c>
      <c r="C830" t="s">
        <v>319</v>
      </c>
      <c r="D830" t="s">
        <v>176</v>
      </c>
      <c r="E830" t="s">
        <v>339</v>
      </c>
      <c r="F830" t="s">
        <v>340</v>
      </c>
      <c r="G830" t="s">
        <v>322</v>
      </c>
      <c r="H830" t="s">
        <v>321</v>
      </c>
      <c r="I830" t="s">
        <v>426</v>
      </c>
      <c r="J830" t="s">
        <v>76</v>
      </c>
      <c r="K830" t="s">
        <v>1</v>
      </c>
      <c r="L830">
        <v>27448</v>
      </c>
      <c r="M830">
        <v>152</v>
      </c>
      <c r="N830">
        <v>24</v>
      </c>
      <c r="O830">
        <v>2524.7730000000001</v>
      </c>
      <c r="P830">
        <v>232.6</v>
      </c>
      <c r="Q830">
        <v>12</v>
      </c>
      <c r="R830">
        <v>12</v>
      </c>
      <c r="S830" t="s">
        <v>116</v>
      </c>
      <c r="T830">
        <v>10</v>
      </c>
      <c r="U830">
        <v>11</v>
      </c>
      <c r="V830">
        <v>3</v>
      </c>
      <c r="W830">
        <v>0</v>
      </c>
      <c r="X830">
        <v>0</v>
      </c>
      <c r="Y830" s="20">
        <f>SUM(Table1[[#This Row],[dty_type_cnt1]:[dty_type_cnt5]])</f>
        <v>24</v>
      </c>
    </row>
    <row r="831" spans="1:25" x14ac:dyDescent="0.25">
      <c r="A831" s="15">
        <v>46107</v>
      </c>
      <c r="B831" t="s">
        <v>430</v>
      </c>
      <c r="C831" t="s">
        <v>319</v>
      </c>
      <c r="D831" t="s">
        <v>176</v>
      </c>
      <c r="E831" t="s">
        <v>341</v>
      </c>
      <c r="F831" t="s">
        <v>342</v>
      </c>
      <c r="G831" t="s">
        <v>322</v>
      </c>
      <c r="H831" t="s">
        <v>321</v>
      </c>
      <c r="I831" t="s">
        <v>426</v>
      </c>
      <c r="J831" t="s">
        <v>76</v>
      </c>
      <c r="K831" t="s">
        <v>1</v>
      </c>
      <c r="L831">
        <v>27448</v>
      </c>
      <c r="M831">
        <v>71</v>
      </c>
      <c r="N831">
        <v>16</v>
      </c>
      <c r="O831">
        <v>1442.1990000000001</v>
      </c>
      <c r="P831">
        <v>145.19999999999999</v>
      </c>
      <c r="Q831">
        <v>20</v>
      </c>
      <c r="R831">
        <v>7</v>
      </c>
      <c r="S831" t="s">
        <v>116</v>
      </c>
      <c r="T831">
        <v>7</v>
      </c>
      <c r="U831">
        <v>7</v>
      </c>
      <c r="V831">
        <v>0</v>
      </c>
      <c r="W831">
        <v>0</v>
      </c>
      <c r="X831">
        <v>0</v>
      </c>
      <c r="Y831" s="20">
        <f>SUM(Table1[[#This Row],[dty_type_cnt1]:[dty_type_cnt5]])</f>
        <v>14</v>
      </c>
    </row>
    <row r="832" spans="1:25" x14ac:dyDescent="0.25">
      <c r="A832" s="15">
        <v>46107</v>
      </c>
      <c r="B832" t="s">
        <v>430</v>
      </c>
      <c r="C832" t="s">
        <v>319</v>
      </c>
      <c r="D832" t="s">
        <v>176</v>
      </c>
      <c r="E832" t="s">
        <v>343</v>
      </c>
      <c r="F832" t="s">
        <v>344</v>
      </c>
      <c r="G832" t="s">
        <v>322</v>
      </c>
      <c r="H832" t="s">
        <v>321</v>
      </c>
      <c r="I832" t="s">
        <v>426</v>
      </c>
      <c r="J832" t="s">
        <v>76</v>
      </c>
      <c r="K832" t="s">
        <v>1</v>
      </c>
      <c r="L832">
        <v>27448</v>
      </c>
      <c r="M832">
        <v>121</v>
      </c>
      <c r="N832">
        <v>26</v>
      </c>
      <c r="O832">
        <v>1741.4449999999999</v>
      </c>
      <c r="P832">
        <v>215.4</v>
      </c>
      <c r="Q832">
        <v>15</v>
      </c>
      <c r="R832">
        <v>9</v>
      </c>
      <c r="S832" t="s">
        <v>116</v>
      </c>
      <c r="T832">
        <v>8</v>
      </c>
      <c r="U832">
        <v>8</v>
      </c>
      <c r="V832">
        <v>3</v>
      </c>
      <c r="W832">
        <v>0</v>
      </c>
      <c r="X832">
        <v>0</v>
      </c>
      <c r="Y832" s="20">
        <f>SUM(Table1[[#This Row],[dty_type_cnt1]:[dty_type_cnt5]])</f>
        <v>19</v>
      </c>
    </row>
    <row r="833" spans="1:25" x14ac:dyDescent="0.25">
      <c r="A833" s="15">
        <v>46107</v>
      </c>
      <c r="B833" t="s">
        <v>430</v>
      </c>
      <c r="C833" t="s">
        <v>319</v>
      </c>
      <c r="D833" t="s">
        <v>176</v>
      </c>
      <c r="E833" t="s">
        <v>345</v>
      </c>
      <c r="F833" t="s">
        <v>346</v>
      </c>
      <c r="G833" t="s">
        <v>322</v>
      </c>
      <c r="H833" t="s">
        <v>321</v>
      </c>
      <c r="I833" t="s">
        <v>426</v>
      </c>
      <c r="J833" t="s">
        <v>76</v>
      </c>
      <c r="K833" t="s">
        <v>1</v>
      </c>
      <c r="L833">
        <v>27448</v>
      </c>
      <c r="M833">
        <v>54</v>
      </c>
      <c r="N833">
        <v>8</v>
      </c>
      <c r="O833">
        <v>812.452</v>
      </c>
      <c r="P833">
        <v>76.400000000000006</v>
      </c>
      <c r="Q833">
        <v>30</v>
      </c>
      <c r="R833">
        <v>4</v>
      </c>
      <c r="S833" t="s">
        <v>116</v>
      </c>
      <c r="T833">
        <v>4</v>
      </c>
      <c r="U833">
        <v>4</v>
      </c>
      <c r="V833">
        <v>0</v>
      </c>
      <c r="W833">
        <v>0</v>
      </c>
      <c r="X833">
        <v>0</v>
      </c>
      <c r="Y833" s="20">
        <f>SUM(Table1[[#This Row],[dty_type_cnt1]:[dty_type_cnt5]])</f>
        <v>8</v>
      </c>
    </row>
    <row r="834" spans="1:25" x14ac:dyDescent="0.25">
      <c r="A834" s="15">
        <v>46107</v>
      </c>
      <c r="B834" t="s">
        <v>430</v>
      </c>
      <c r="C834" t="s">
        <v>319</v>
      </c>
      <c r="D834" t="s">
        <v>176</v>
      </c>
      <c r="E834" t="s">
        <v>347</v>
      </c>
      <c r="F834" t="s">
        <v>348</v>
      </c>
      <c r="G834" t="s">
        <v>322</v>
      </c>
      <c r="H834" t="s">
        <v>321</v>
      </c>
      <c r="I834" t="s">
        <v>426</v>
      </c>
      <c r="J834" t="s">
        <v>76</v>
      </c>
      <c r="K834" t="s">
        <v>1</v>
      </c>
      <c r="L834">
        <v>27448</v>
      </c>
      <c r="M834">
        <v>56</v>
      </c>
      <c r="N834">
        <v>6</v>
      </c>
      <c r="O834">
        <v>611.31600000000003</v>
      </c>
      <c r="P834">
        <v>57.3</v>
      </c>
      <c r="Q834">
        <v>30</v>
      </c>
      <c r="R834">
        <v>3</v>
      </c>
      <c r="S834" t="s">
        <v>116</v>
      </c>
      <c r="T834">
        <v>4</v>
      </c>
      <c r="U834">
        <v>2</v>
      </c>
      <c r="V834">
        <v>1</v>
      </c>
      <c r="W834">
        <v>0</v>
      </c>
      <c r="X834">
        <v>0</v>
      </c>
      <c r="Y834" s="20">
        <f>SUM(Table1[[#This Row],[dty_type_cnt1]:[dty_type_cnt5]])</f>
        <v>7</v>
      </c>
    </row>
    <row r="835" spans="1:25" x14ac:dyDescent="0.25">
      <c r="A835" s="15">
        <v>46107</v>
      </c>
      <c r="B835" t="s">
        <v>430</v>
      </c>
      <c r="C835" t="s">
        <v>319</v>
      </c>
      <c r="D835" t="s">
        <v>262</v>
      </c>
      <c r="E835" t="s">
        <v>427</v>
      </c>
      <c r="F835" t="s">
        <v>428</v>
      </c>
      <c r="G835" t="s">
        <v>322</v>
      </c>
      <c r="H835" t="s">
        <v>321</v>
      </c>
      <c r="I835" t="s">
        <v>426</v>
      </c>
      <c r="J835" t="s">
        <v>76</v>
      </c>
      <c r="K835" t="s">
        <v>1</v>
      </c>
      <c r="L835">
        <v>27448</v>
      </c>
      <c r="M835">
        <v>101</v>
      </c>
      <c r="N835">
        <v>10</v>
      </c>
      <c r="O835">
        <v>699.13800000000003</v>
      </c>
      <c r="P835">
        <v>59.6</v>
      </c>
      <c r="Q835">
        <v>20</v>
      </c>
      <c r="R835">
        <v>4</v>
      </c>
      <c r="S835" t="s">
        <v>116</v>
      </c>
      <c r="T835">
        <v>4</v>
      </c>
      <c r="U835">
        <v>3</v>
      </c>
      <c r="V835">
        <v>4</v>
      </c>
      <c r="W835">
        <v>0</v>
      </c>
      <c r="X835">
        <v>0</v>
      </c>
      <c r="Y835" s="20">
        <f>SUM(Table1[[#This Row],[dty_type_cnt1]:[dty_type_cnt5]])</f>
        <v>11</v>
      </c>
    </row>
    <row r="836" spans="1:25" x14ac:dyDescent="0.25">
      <c r="A836" s="15">
        <v>46107</v>
      </c>
      <c r="B836" t="s">
        <v>430</v>
      </c>
      <c r="C836" t="s">
        <v>319</v>
      </c>
      <c r="D836" t="s">
        <v>176</v>
      </c>
      <c r="E836" t="s">
        <v>349</v>
      </c>
      <c r="F836" t="s">
        <v>350</v>
      </c>
      <c r="G836" t="s">
        <v>322</v>
      </c>
      <c r="H836" t="s">
        <v>321</v>
      </c>
      <c r="I836" t="s">
        <v>426</v>
      </c>
      <c r="J836" t="s">
        <v>171</v>
      </c>
      <c r="K836" t="s">
        <v>1</v>
      </c>
      <c r="L836">
        <v>27448</v>
      </c>
      <c r="M836">
        <v>73</v>
      </c>
      <c r="N836">
        <v>8</v>
      </c>
      <c r="O836">
        <v>710.14800000000002</v>
      </c>
      <c r="P836">
        <v>66.3</v>
      </c>
      <c r="Q836">
        <v>30</v>
      </c>
      <c r="R836">
        <v>4</v>
      </c>
      <c r="S836" t="s">
        <v>116</v>
      </c>
      <c r="T836">
        <v>5</v>
      </c>
      <c r="U836">
        <v>3</v>
      </c>
      <c r="V836">
        <v>1</v>
      </c>
      <c r="W836">
        <v>0</v>
      </c>
      <c r="X836">
        <v>0</v>
      </c>
      <c r="Y836" s="20">
        <f>SUM(Table1[[#This Row],[dty_type_cnt1]:[dty_type_cnt5]])</f>
        <v>9</v>
      </c>
    </row>
    <row r="837" spans="1:25" x14ac:dyDescent="0.25">
      <c r="A837" s="15">
        <v>46107</v>
      </c>
      <c r="B837" t="s">
        <v>430</v>
      </c>
      <c r="C837" t="s">
        <v>319</v>
      </c>
      <c r="D837" t="s">
        <v>176</v>
      </c>
      <c r="E837" t="s">
        <v>351</v>
      </c>
      <c r="F837" t="s">
        <v>352</v>
      </c>
      <c r="G837" t="s">
        <v>322</v>
      </c>
      <c r="H837" t="s">
        <v>321</v>
      </c>
      <c r="I837" t="s">
        <v>426</v>
      </c>
      <c r="J837" t="s">
        <v>76</v>
      </c>
      <c r="K837" t="s">
        <v>1</v>
      </c>
      <c r="L837">
        <v>27448</v>
      </c>
      <c r="M837">
        <v>104</v>
      </c>
      <c r="N837">
        <v>20</v>
      </c>
      <c r="O837">
        <v>3448.9079999999999</v>
      </c>
      <c r="P837">
        <v>281</v>
      </c>
      <c r="Q837">
        <v>20</v>
      </c>
      <c r="R837">
        <v>10</v>
      </c>
      <c r="S837" t="s">
        <v>116</v>
      </c>
      <c r="T837">
        <v>12</v>
      </c>
      <c r="U837">
        <v>3</v>
      </c>
      <c r="V837">
        <v>8</v>
      </c>
      <c r="W837">
        <v>0</v>
      </c>
      <c r="X837">
        <v>0</v>
      </c>
      <c r="Y837" s="20">
        <f>SUM(Table1[[#This Row],[dty_type_cnt1]:[dty_type_cnt5]])</f>
        <v>23</v>
      </c>
    </row>
    <row r="838" spans="1:25" x14ac:dyDescent="0.25">
      <c r="A838" s="15">
        <v>46107</v>
      </c>
      <c r="B838" t="s">
        <v>430</v>
      </c>
      <c r="C838" t="s">
        <v>319</v>
      </c>
      <c r="D838" t="s">
        <v>176</v>
      </c>
      <c r="E838" t="s">
        <v>353</v>
      </c>
      <c r="F838" t="s">
        <v>354</v>
      </c>
      <c r="G838" t="s">
        <v>322</v>
      </c>
      <c r="H838" t="s">
        <v>321</v>
      </c>
      <c r="I838" t="s">
        <v>426</v>
      </c>
      <c r="J838" t="s">
        <v>171</v>
      </c>
      <c r="K838" t="s">
        <v>1</v>
      </c>
      <c r="L838">
        <v>27448</v>
      </c>
      <c r="M838">
        <v>32</v>
      </c>
      <c r="N838">
        <v>12</v>
      </c>
      <c r="O838">
        <v>866.81600000000003</v>
      </c>
      <c r="P838">
        <v>68.400000000000006</v>
      </c>
      <c r="Q838">
        <v>60</v>
      </c>
      <c r="R838">
        <v>3</v>
      </c>
      <c r="S838" t="s">
        <v>116</v>
      </c>
      <c r="T838">
        <v>3</v>
      </c>
      <c r="U838">
        <v>3</v>
      </c>
      <c r="V838">
        <v>0</v>
      </c>
      <c r="W838">
        <v>0</v>
      </c>
      <c r="X838">
        <v>0</v>
      </c>
      <c r="Y838" s="20">
        <f>SUM(Table1[[#This Row],[dty_type_cnt1]:[dty_type_cnt5]])</f>
        <v>6</v>
      </c>
    </row>
    <row r="839" spans="1:25" x14ac:dyDescent="0.25">
      <c r="A839" s="15">
        <v>46107</v>
      </c>
      <c r="B839" t="s">
        <v>430</v>
      </c>
      <c r="C839" t="s">
        <v>319</v>
      </c>
      <c r="D839" t="s">
        <v>176</v>
      </c>
      <c r="E839" t="s">
        <v>355</v>
      </c>
      <c r="F839" t="s">
        <v>356</v>
      </c>
      <c r="G839" t="s">
        <v>322</v>
      </c>
      <c r="H839" t="s">
        <v>321</v>
      </c>
      <c r="I839" t="s">
        <v>426</v>
      </c>
      <c r="J839" t="s">
        <v>171</v>
      </c>
      <c r="K839" t="s">
        <v>1</v>
      </c>
      <c r="L839">
        <v>27448</v>
      </c>
      <c r="M839">
        <v>20</v>
      </c>
      <c r="N839">
        <v>6</v>
      </c>
      <c r="O839">
        <v>2410.69</v>
      </c>
      <c r="P839">
        <v>0.6</v>
      </c>
      <c r="Q839">
        <v>100</v>
      </c>
      <c r="R839">
        <v>3</v>
      </c>
      <c r="S839" t="s">
        <v>116</v>
      </c>
      <c r="T839">
        <v>4</v>
      </c>
      <c r="U839">
        <v>2</v>
      </c>
      <c r="V839">
        <v>1</v>
      </c>
      <c r="W839">
        <v>0</v>
      </c>
      <c r="X839">
        <v>0</v>
      </c>
      <c r="Y839" s="20">
        <f>SUM(Table1[[#This Row],[dty_type_cnt1]:[dty_type_cnt5]])</f>
        <v>7</v>
      </c>
    </row>
    <row r="840" spans="1:25" x14ac:dyDescent="0.25">
      <c r="A840" s="15">
        <v>46107</v>
      </c>
      <c r="B840" t="s">
        <v>430</v>
      </c>
      <c r="C840" t="s">
        <v>319</v>
      </c>
      <c r="D840" t="s">
        <v>54</v>
      </c>
      <c r="E840" t="s">
        <v>92</v>
      </c>
      <c r="F840" t="s">
        <v>357</v>
      </c>
      <c r="G840" t="s">
        <v>322</v>
      </c>
      <c r="H840" t="s">
        <v>321</v>
      </c>
      <c r="I840" t="s">
        <v>426</v>
      </c>
      <c r="J840" t="s">
        <v>76</v>
      </c>
      <c r="K840" t="s">
        <v>1</v>
      </c>
      <c r="L840">
        <v>27448</v>
      </c>
      <c r="M840">
        <v>126</v>
      </c>
      <c r="N840">
        <v>16</v>
      </c>
      <c r="O840">
        <v>521.15499999999997</v>
      </c>
      <c r="P840">
        <v>60</v>
      </c>
      <c r="Q840">
        <v>10</v>
      </c>
      <c r="R840">
        <v>6</v>
      </c>
      <c r="S840" t="s">
        <v>116</v>
      </c>
      <c r="T840">
        <v>5</v>
      </c>
      <c r="U840">
        <v>5</v>
      </c>
      <c r="V840">
        <v>2</v>
      </c>
      <c r="W840">
        <v>0</v>
      </c>
      <c r="X840">
        <v>0</v>
      </c>
      <c r="Y840" s="20">
        <f>SUM(Table1[[#This Row],[dty_type_cnt1]:[dty_type_cnt5]])</f>
        <v>12</v>
      </c>
    </row>
    <row r="841" spans="1:25" x14ac:dyDescent="0.25">
      <c r="A841" s="15">
        <v>46107</v>
      </c>
      <c r="B841" t="s">
        <v>430</v>
      </c>
      <c r="C841" t="s">
        <v>319</v>
      </c>
      <c r="D841" t="s">
        <v>54</v>
      </c>
      <c r="E841" t="s">
        <v>93</v>
      </c>
      <c r="F841" t="s">
        <v>358</v>
      </c>
      <c r="G841" t="s">
        <v>322</v>
      </c>
      <c r="H841" t="s">
        <v>321</v>
      </c>
      <c r="I841" t="s">
        <v>426</v>
      </c>
      <c r="J841" t="s">
        <v>76</v>
      </c>
      <c r="K841" t="s">
        <v>1</v>
      </c>
      <c r="L841">
        <v>27448</v>
      </c>
      <c r="M841">
        <v>144</v>
      </c>
      <c r="N841">
        <v>24</v>
      </c>
      <c r="O841">
        <v>475.63200000000001</v>
      </c>
      <c r="P841">
        <v>93</v>
      </c>
      <c r="Q841">
        <v>6</v>
      </c>
      <c r="R841">
        <v>7</v>
      </c>
      <c r="S841" t="s">
        <v>116</v>
      </c>
      <c r="T841">
        <v>4</v>
      </c>
      <c r="U841">
        <v>6</v>
      </c>
      <c r="V841">
        <v>0</v>
      </c>
      <c r="W841">
        <v>0</v>
      </c>
      <c r="X841">
        <v>0</v>
      </c>
      <c r="Y841" s="20">
        <f>SUM(Table1[[#This Row],[dty_type_cnt1]:[dty_type_cnt5]])</f>
        <v>10</v>
      </c>
    </row>
    <row r="842" spans="1:25" x14ac:dyDescent="0.25">
      <c r="A842" s="15">
        <v>46107</v>
      </c>
      <c r="B842" t="s">
        <v>430</v>
      </c>
      <c r="C842" t="s">
        <v>319</v>
      </c>
      <c r="D842" t="s">
        <v>262</v>
      </c>
      <c r="E842" t="s">
        <v>359</v>
      </c>
      <c r="F842" t="s">
        <v>336</v>
      </c>
      <c r="G842" t="s">
        <v>322</v>
      </c>
      <c r="H842" t="s">
        <v>321</v>
      </c>
      <c r="I842" t="s">
        <v>426</v>
      </c>
      <c r="J842" t="s">
        <v>171</v>
      </c>
      <c r="K842" t="s">
        <v>1</v>
      </c>
      <c r="L842">
        <v>27448</v>
      </c>
      <c r="M842">
        <v>18</v>
      </c>
      <c r="N842">
        <v>6</v>
      </c>
      <c r="O842">
        <v>2439.261</v>
      </c>
      <c r="P842">
        <v>21.2</v>
      </c>
      <c r="Q842">
        <v>115</v>
      </c>
      <c r="R842">
        <v>3</v>
      </c>
      <c r="S842" t="s">
        <v>116</v>
      </c>
      <c r="T842">
        <v>4</v>
      </c>
      <c r="U842">
        <v>2</v>
      </c>
      <c r="V842">
        <v>3</v>
      </c>
      <c r="W842">
        <v>0</v>
      </c>
      <c r="X842">
        <v>0</v>
      </c>
      <c r="Y842" s="20">
        <f>SUM(Table1[[#This Row],[dty_type_cnt1]:[dty_type_cnt5]])</f>
        <v>9</v>
      </c>
    </row>
    <row r="843" spans="1:25" x14ac:dyDescent="0.25">
      <c r="A843" s="15">
        <v>46107</v>
      </c>
      <c r="B843" t="s">
        <v>430</v>
      </c>
      <c r="C843" t="s">
        <v>319</v>
      </c>
      <c r="D843" t="s">
        <v>406</v>
      </c>
      <c r="E843" t="s">
        <v>360</v>
      </c>
      <c r="F843" t="s">
        <v>361</v>
      </c>
      <c r="G843" t="s">
        <v>322</v>
      </c>
      <c r="H843" t="s">
        <v>321</v>
      </c>
      <c r="I843" t="s">
        <v>426</v>
      </c>
      <c r="J843" t="s">
        <v>171</v>
      </c>
      <c r="K843" t="s">
        <v>1</v>
      </c>
      <c r="L843">
        <v>27448</v>
      </c>
      <c r="M843">
        <v>14</v>
      </c>
      <c r="N843">
        <v>6</v>
      </c>
      <c r="O843">
        <v>1876.546</v>
      </c>
      <c r="P843">
        <v>130.80000000000001</v>
      </c>
      <c r="Q843">
        <v>120</v>
      </c>
      <c r="R843">
        <v>3</v>
      </c>
      <c r="S843" t="s">
        <v>116</v>
      </c>
      <c r="T843">
        <v>3</v>
      </c>
      <c r="U843">
        <v>2</v>
      </c>
      <c r="V843">
        <v>2</v>
      </c>
      <c r="W843">
        <v>0</v>
      </c>
      <c r="X843">
        <v>0</v>
      </c>
      <c r="Y843" s="20">
        <f>SUM(Table1[[#This Row],[dty_type_cnt1]:[dty_type_cnt5]])</f>
        <v>7</v>
      </c>
    </row>
    <row r="844" spans="1:25" x14ac:dyDescent="0.25">
      <c r="A844" s="15">
        <v>46107</v>
      </c>
      <c r="B844" t="s">
        <v>430</v>
      </c>
      <c r="C844" t="s">
        <v>319</v>
      </c>
      <c r="D844" t="s">
        <v>362</v>
      </c>
      <c r="E844" t="s">
        <v>363</v>
      </c>
      <c r="F844" t="s">
        <v>364</v>
      </c>
      <c r="G844" t="s">
        <v>322</v>
      </c>
      <c r="H844" t="s">
        <v>321</v>
      </c>
      <c r="I844" t="s">
        <v>426</v>
      </c>
      <c r="J844" t="s">
        <v>63</v>
      </c>
      <c r="K844" t="s">
        <v>1</v>
      </c>
      <c r="L844">
        <v>27448</v>
      </c>
      <c r="M844">
        <v>50</v>
      </c>
      <c r="N844">
        <v>6</v>
      </c>
      <c r="O844">
        <v>508.125</v>
      </c>
      <c r="P844">
        <v>14.2</v>
      </c>
      <c r="Q844">
        <v>30</v>
      </c>
      <c r="R844">
        <v>2</v>
      </c>
      <c r="S844" t="s">
        <v>116</v>
      </c>
      <c r="T844">
        <v>2</v>
      </c>
      <c r="U844">
        <v>2</v>
      </c>
      <c r="V844">
        <v>0</v>
      </c>
      <c r="W844">
        <v>0</v>
      </c>
      <c r="X844">
        <v>0</v>
      </c>
      <c r="Y844" s="20">
        <f>SUM(Table1[[#This Row],[dty_type_cnt1]:[dty_type_cnt5]])</f>
        <v>4</v>
      </c>
    </row>
    <row r="845" spans="1:25" x14ac:dyDescent="0.25">
      <c r="A845" s="15">
        <v>46107</v>
      </c>
      <c r="B845" t="s">
        <v>430</v>
      </c>
      <c r="C845" t="s">
        <v>319</v>
      </c>
      <c r="D845" t="s">
        <v>406</v>
      </c>
      <c r="E845" t="s">
        <v>365</v>
      </c>
      <c r="F845" t="s">
        <v>366</v>
      </c>
      <c r="G845" t="s">
        <v>322</v>
      </c>
      <c r="H845" t="s">
        <v>321</v>
      </c>
      <c r="I845" t="s">
        <v>426</v>
      </c>
      <c r="J845" t="s">
        <v>63</v>
      </c>
      <c r="K845" t="s">
        <v>1</v>
      </c>
      <c r="L845">
        <v>27448</v>
      </c>
      <c r="M845">
        <v>29</v>
      </c>
      <c r="N845">
        <v>32</v>
      </c>
      <c r="O845">
        <v>836.96900000000005</v>
      </c>
      <c r="P845">
        <v>3.278</v>
      </c>
      <c r="Q845">
        <v>30</v>
      </c>
      <c r="R845">
        <v>3</v>
      </c>
      <c r="S845" t="s">
        <v>116</v>
      </c>
      <c r="T845">
        <v>3</v>
      </c>
      <c r="U845">
        <v>3</v>
      </c>
      <c r="V845">
        <v>0</v>
      </c>
      <c r="W845">
        <v>0</v>
      </c>
      <c r="X845">
        <v>0</v>
      </c>
      <c r="Y845" s="20">
        <f>SUM(Table1[[#This Row],[dty_type_cnt1]:[dty_type_cnt5]])</f>
        <v>6</v>
      </c>
    </row>
    <row r="846" spans="1:25" x14ac:dyDescent="0.25">
      <c r="A846" s="15">
        <v>46107</v>
      </c>
      <c r="B846" t="s">
        <v>430</v>
      </c>
      <c r="C846" t="s">
        <v>319</v>
      </c>
      <c r="D846" t="s">
        <v>101</v>
      </c>
      <c r="E846" t="s">
        <v>102</v>
      </c>
      <c r="F846" t="s">
        <v>103</v>
      </c>
      <c r="G846" t="s">
        <v>322</v>
      </c>
      <c r="H846" t="s">
        <v>321</v>
      </c>
      <c r="I846" t="s">
        <v>426</v>
      </c>
      <c r="J846" t="s">
        <v>171</v>
      </c>
      <c r="K846" t="s">
        <v>1</v>
      </c>
      <c r="L846">
        <v>27448</v>
      </c>
      <c r="M846">
        <v>16</v>
      </c>
      <c r="N846">
        <v>6</v>
      </c>
      <c r="O846">
        <v>523.54399999999998</v>
      </c>
      <c r="P846">
        <v>45.3</v>
      </c>
      <c r="Q846">
        <v>60</v>
      </c>
      <c r="R846">
        <v>3</v>
      </c>
      <c r="S846" t="s">
        <v>116</v>
      </c>
      <c r="T846">
        <v>0</v>
      </c>
      <c r="U846">
        <v>0</v>
      </c>
      <c r="V846">
        <v>3</v>
      </c>
      <c r="W846">
        <v>0</v>
      </c>
      <c r="X846">
        <v>0</v>
      </c>
      <c r="Y846" s="20">
        <f>SUM(Table1[[#This Row],[dty_type_cnt1]:[dty_type_cnt5]])</f>
        <v>3</v>
      </c>
    </row>
    <row r="847" spans="1:25" x14ac:dyDescent="0.25">
      <c r="A847" s="15">
        <v>46107</v>
      </c>
      <c r="B847" t="s">
        <v>430</v>
      </c>
      <c r="C847" t="s">
        <v>319</v>
      </c>
      <c r="D847" t="s">
        <v>262</v>
      </c>
      <c r="E847" t="s">
        <v>367</v>
      </c>
      <c r="F847" t="s">
        <v>368</v>
      </c>
      <c r="G847" t="s">
        <v>322</v>
      </c>
      <c r="H847" t="s">
        <v>321</v>
      </c>
      <c r="I847" t="s">
        <v>426</v>
      </c>
      <c r="J847" t="s">
        <v>171</v>
      </c>
      <c r="K847" t="s">
        <v>1</v>
      </c>
      <c r="L847">
        <v>27448</v>
      </c>
      <c r="M847">
        <v>22</v>
      </c>
      <c r="N847">
        <v>10</v>
      </c>
      <c r="O847">
        <v>795.52</v>
      </c>
      <c r="P847">
        <v>215</v>
      </c>
      <c r="Q847">
        <v>60</v>
      </c>
      <c r="R847">
        <v>5</v>
      </c>
      <c r="S847" t="s">
        <v>116</v>
      </c>
      <c r="T847">
        <v>5</v>
      </c>
      <c r="U847">
        <v>3</v>
      </c>
      <c r="V847">
        <v>2</v>
      </c>
      <c r="W847">
        <v>0</v>
      </c>
      <c r="X847">
        <v>0</v>
      </c>
      <c r="Y847" s="20">
        <f>SUM(Table1[[#This Row],[dty_type_cnt1]:[dty_type_cnt5]])</f>
        <v>10</v>
      </c>
    </row>
    <row r="848" spans="1:25" x14ac:dyDescent="0.25">
      <c r="A848" s="15">
        <v>46107</v>
      </c>
      <c r="B848" t="s">
        <v>430</v>
      </c>
      <c r="C848" t="s">
        <v>319</v>
      </c>
      <c r="D848" t="s">
        <v>262</v>
      </c>
      <c r="E848" t="s">
        <v>370</v>
      </c>
      <c r="F848" t="s">
        <v>371</v>
      </c>
      <c r="G848" t="s">
        <v>322</v>
      </c>
      <c r="H848" t="s">
        <v>321</v>
      </c>
      <c r="I848" t="s">
        <v>426</v>
      </c>
      <c r="J848" t="s">
        <v>63</v>
      </c>
      <c r="K848" t="s">
        <v>1</v>
      </c>
      <c r="L848">
        <v>27448</v>
      </c>
      <c r="M848">
        <v>35</v>
      </c>
      <c r="N848">
        <v>4</v>
      </c>
      <c r="O848">
        <v>287.226</v>
      </c>
      <c r="P848">
        <v>20.9</v>
      </c>
      <c r="Q848">
        <v>30</v>
      </c>
      <c r="R848">
        <v>2</v>
      </c>
      <c r="S848" t="s">
        <v>116</v>
      </c>
      <c r="T848">
        <v>0</v>
      </c>
      <c r="U848">
        <v>2</v>
      </c>
      <c r="V848">
        <v>0</v>
      </c>
      <c r="W848">
        <v>0</v>
      </c>
      <c r="X848">
        <v>0</v>
      </c>
      <c r="Y848" s="20">
        <f>SUM(Table1[[#This Row],[dty_type_cnt1]:[dty_type_cnt5]])</f>
        <v>2</v>
      </c>
    </row>
    <row r="849" spans="1:25" x14ac:dyDescent="0.25">
      <c r="A849" s="15">
        <v>46107</v>
      </c>
      <c r="B849" t="s">
        <v>430</v>
      </c>
      <c r="C849" t="s">
        <v>319</v>
      </c>
      <c r="D849" t="s">
        <v>46</v>
      </c>
      <c r="E849">
        <v>5</v>
      </c>
      <c r="F849" t="s">
        <v>112</v>
      </c>
      <c r="G849" t="s">
        <v>322</v>
      </c>
      <c r="H849" t="s">
        <v>321</v>
      </c>
      <c r="I849" t="s">
        <v>426</v>
      </c>
      <c r="J849" t="s">
        <v>156</v>
      </c>
      <c r="K849" t="s">
        <v>2</v>
      </c>
      <c r="L849">
        <v>27447</v>
      </c>
      <c r="M849">
        <v>14</v>
      </c>
      <c r="N849">
        <v>6</v>
      </c>
      <c r="O849">
        <v>111.21599999999999</v>
      </c>
      <c r="P849">
        <v>35.299999999999997</v>
      </c>
      <c r="Q849">
        <v>41</v>
      </c>
      <c r="R849">
        <v>2</v>
      </c>
      <c r="S849" t="s">
        <v>116</v>
      </c>
      <c r="T849">
        <v>1</v>
      </c>
      <c r="U849">
        <v>0</v>
      </c>
      <c r="V849">
        <v>2</v>
      </c>
      <c r="W849">
        <v>0</v>
      </c>
      <c r="X849">
        <v>0</v>
      </c>
      <c r="Y849" s="20">
        <f>SUM(Table1[[#This Row],[dty_type_cnt1]:[dty_type_cnt5]])</f>
        <v>3</v>
      </c>
    </row>
    <row r="850" spans="1:25" x14ac:dyDescent="0.25">
      <c r="A850" s="15">
        <v>46107</v>
      </c>
      <c r="B850" t="s">
        <v>430</v>
      </c>
      <c r="C850" t="s">
        <v>319</v>
      </c>
      <c r="D850" t="s">
        <v>46</v>
      </c>
      <c r="E850">
        <v>6</v>
      </c>
      <c r="F850" t="s">
        <v>324</v>
      </c>
      <c r="G850" t="s">
        <v>322</v>
      </c>
      <c r="H850" t="s">
        <v>321</v>
      </c>
      <c r="I850" t="s">
        <v>426</v>
      </c>
      <c r="J850" t="s">
        <v>63</v>
      </c>
      <c r="K850" t="s">
        <v>2</v>
      </c>
      <c r="L850">
        <v>27447</v>
      </c>
      <c r="M850">
        <v>28</v>
      </c>
      <c r="N850">
        <v>6</v>
      </c>
      <c r="O850">
        <v>266.952</v>
      </c>
      <c r="P850">
        <v>60.3</v>
      </c>
      <c r="Q850">
        <v>25</v>
      </c>
      <c r="R850">
        <v>2</v>
      </c>
      <c r="S850" t="s">
        <v>116</v>
      </c>
      <c r="T850">
        <v>2</v>
      </c>
      <c r="U850">
        <v>1</v>
      </c>
      <c r="V850">
        <v>1</v>
      </c>
      <c r="W850">
        <v>0</v>
      </c>
      <c r="X850">
        <v>0</v>
      </c>
      <c r="Y850" s="20">
        <f>SUM(Table1[[#This Row],[dty_type_cnt1]:[dty_type_cnt5]])</f>
        <v>4</v>
      </c>
    </row>
    <row r="851" spans="1:25" x14ac:dyDescent="0.25">
      <c r="A851" s="15">
        <v>46107</v>
      </c>
      <c r="B851" t="s">
        <v>430</v>
      </c>
      <c r="C851" t="s">
        <v>319</v>
      </c>
      <c r="D851" t="s">
        <v>46</v>
      </c>
      <c r="E851">
        <v>25</v>
      </c>
      <c r="F851" t="s">
        <v>111</v>
      </c>
      <c r="G851" t="s">
        <v>322</v>
      </c>
      <c r="H851" t="s">
        <v>321</v>
      </c>
      <c r="I851" t="s">
        <v>426</v>
      </c>
      <c r="J851" t="s">
        <v>171</v>
      </c>
      <c r="K851" t="s">
        <v>2</v>
      </c>
      <c r="L851">
        <v>27447</v>
      </c>
      <c r="M851">
        <v>73</v>
      </c>
      <c r="N851">
        <v>10</v>
      </c>
      <c r="O851">
        <v>1039.0429999999999</v>
      </c>
      <c r="P851">
        <v>110.8</v>
      </c>
      <c r="Q851">
        <v>25</v>
      </c>
      <c r="R851">
        <v>5</v>
      </c>
      <c r="S851" t="s">
        <v>116</v>
      </c>
      <c r="T851">
        <v>6</v>
      </c>
      <c r="U851">
        <v>3</v>
      </c>
      <c r="V851">
        <v>2</v>
      </c>
      <c r="W851">
        <v>0</v>
      </c>
      <c r="X851">
        <v>0</v>
      </c>
      <c r="Y851" s="20">
        <f>SUM(Table1[[#This Row],[dty_type_cnt1]:[dty_type_cnt5]])</f>
        <v>11</v>
      </c>
    </row>
    <row r="852" spans="1:25" x14ac:dyDescent="0.25">
      <c r="A852" s="15">
        <v>46107</v>
      </c>
      <c r="B852" t="s">
        <v>430</v>
      </c>
      <c r="C852" t="s">
        <v>319</v>
      </c>
      <c r="D852" t="s">
        <v>46</v>
      </c>
      <c r="E852" t="s">
        <v>327</v>
      </c>
      <c r="F852" t="s">
        <v>328</v>
      </c>
      <c r="G852" t="s">
        <v>322</v>
      </c>
      <c r="H852" t="s">
        <v>321</v>
      </c>
      <c r="I852" t="s">
        <v>426</v>
      </c>
      <c r="J852" t="s">
        <v>0</v>
      </c>
      <c r="K852" t="s">
        <v>2</v>
      </c>
      <c r="L852">
        <v>27447</v>
      </c>
      <c r="M852">
        <v>37</v>
      </c>
      <c r="N852">
        <v>6</v>
      </c>
      <c r="O852">
        <v>544.67700000000002</v>
      </c>
      <c r="P852">
        <v>23.7</v>
      </c>
      <c r="Q852">
        <v>30</v>
      </c>
      <c r="R852">
        <v>3</v>
      </c>
      <c r="S852" t="s">
        <v>116</v>
      </c>
      <c r="T852">
        <v>3</v>
      </c>
      <c r="U852">
        <v>2</v>
      </c>
      <c r="V852">
        <v>1</v>
      </c>
      <c r="W852">
        <v>0</v>
      </c>
      <c r="X852">
        <v>0</v>
      </c>
      <c r="Y852" s="20">
        <f>SUM(Table1[[#This Row],[dty_type_cnt1]:[dty_type_cnt5]])</f>
        <v>6</v>
      </c>
    </row>
    <row r="853" spans="1:25" x14ac:dyDescent="0.25">
      <c r="A853" s="15">
        <v>46107</v>
      </c>
      <c r="B853" t="s">
        <v>430</v>
      </c>
      <c r="C853" t="s">
        <v>319</v>
      </c>
      <c r="D853" t="s">
        <v>46</v>
      </c>
      <c r="E853" t="s">
        <v>329</v>
      </c>
      <c r="F853" t="s">
        <v>330</v>
      </c>
      <c r="G853" t="s">
        <v>322</v>
      </c>
      <c r="H853" t="s">
        <v>321</v>
      </c>
      <c r="I853" t="s">
        <v>426</v>
      </c>
      <c r="J853" t="s">
        <v>0</v>
      </c>
      <c r="K853" t="s">
        <v>2</v>
      </c>
      <c r="L853">
        <v>27447</v>
      </c>
      <c r="M853">
        <v>15</v>
      </c>
      <c r="N853">
        <v>12</v>
      </c>
      <c r="O853">
        <v>433.14</v>
      </c>
      <c r="P853">
        <v>42.9</v>
      </c>
      <c r="Q853">
        <v>30</v>
      </c>
      <c r="R853">
        <v>3</v>
      </c>
      <c r="S853" t="s">
        <v>116</v>
      </c>
      <c r="T853">
        <v>3</v>
      </c>
      <c r="U853">
        <v>2</v>
      </c>
      <c r="V853">
        <v>1</v>
      </c>
      <c r="W853">
        <v>0</v>
      </c>
      <c r="X853">
        <v>0</v>
      </c>
      <c r="Y853" s="20">
        <f>SUM(Table1[[#This Row],[dty_type_cnt1]:[dty_type_cnt5]])</f>
        <v>6</v>
      </c>
    </row>
    <row r="854" spans="1:25" x14ac:dyDescent="0.25">
      <c r="A854" s="15">
        <v>46107</v>
      </c>
      <c r="B854" t="s">
        <v>430</v>
      </c>
      <c r="C854" t="s">
        <v>319</v>
      </c>
      <c r="D854" t="s">
        <v>176</v>
      </c>
      <c r="E854" t="s">
        <v>331</v>
      </c>
      <c r="F854" t="s">
        <v>332</v>
      </c>
      <c r="G854" t="s">
        <v>322</v>
      </c>
      <c r="H854" t="s">
        <v>321</v>
      </c>
      <c r="I854" t="s">
        <v>426</v>
      </c>
      <c r="J854" t="s">
        <v>171</v>
      </c>
      <c r="K854" t="s">
        <v>2</v>
      </c>
      <c r="L854">
        <v>27447</v>
      </c>
      <c r="M854">
        <v>108</v>
      </c>
      <c r="N854">
        <v>30</v>
      </c>
      <c r="O854">
        <v>16038.647999999999</v>
      </c>
      <c r="P854">
        <v>280</v>
      </c>
      <c r="Q854">
        <v>20</v>
      </c>
      <c r="R854">
        <v>15</v>
      </c>
      <c r="S854" t="s">
        <v>116</v>
      </c>
      <c r="T854">
        <v>23</v>
      </c>
      <c r="U854">
        <v>12</v>
      </c>
      <c r="V854">
        <v>16</v>
      </c>
      <c r="W854">
        <v>0</v>
      </c>
      <c r="X854">
        <v>0</v>
      </c>
      <c r="Y854" s="20">
        <f>SUM(Table1[[#This Row],[dty_type_cnt1]:[dty_type_cnt5]])</f>
        <v>51</v>
      </c>
    </row>
    <row r="855" spans="1:25" x14ac:dyDescent="0.25">
      <c r="A855" s="15">
        <v>46107</v>
      </c>
      <c r="B855" t="s">
        <v>430</v>
      </c>
      <c r="C855" t="s">
        <v>319</v>
      </c>
      <c r="D855" t="s">
        <v>176</v>
      </c>
      <c r="E855" t="s">
        <v>333</v>
      </c>
      <c r="F855" t="s">
        <v>334</v>
      </c>
      <c r="G855" t="s">
        <v>322</v>
      </c>
      <c r="H855" t="s">
        <v>321</v>
      </c>
      <c r="I855" t="s">
        <v>426</v>
      </c>
      <c r="J855" t="s">
        <v>171</v>
      </c>
      <c r="K855" t="s">
        <v>2</v>
      </c>
      <c r="L855">
        <v>27447</v>
      </c>
      <c r="M855">
        <v>82</v>
      </c>
      <c r="N855">
        <v>26</v>
      </c>
      <c r="O855">
        <v>10790.758</v>
      </c>
      <c r="P855">
        <v>404.84</v>
      </c>
      <c r="Q855">
        <v>30</v>
      </c>
      <c r="R855">
        <v>11</v>
      </c>
      <c r="S855" t="s">
        <v>116</v>
      </c>
      <c r="T855">
        <v>15</v>
      </c>
      <c r="U855">
        <v>10</v>
      </c>
      <c r="V855">
        <v>13</v>
      </c>
      <c r="W855">
        <v>0</v>
      </c>
      <c r="X855">
        <v>0</v>
      </c>
      <c r="Y855" s="20">
        <f>SUM(Table1[[#This Row],[dty_type_cnt1]:[dty_type_cnt5]])</f>
        <v>38</v>
      </c>
    </row>
    <row r="856" spans="1:25" x14ac:dyDescent="0.25">
      <c r="A856" s="15">
        <v>46107</v>
      </c>
      <c r="B856" t="s">
        <v>430</v>
      </c>
      <c r="C856" t="s">
        <v>319</v>
      </c>
      <c r="D856" t="s">
        <v>46</v>
      </c>
      <c r="E856" t="s">
        <v>335</v>
      </c>
      <c r="F856" t="s">
        <v>336</v>
      </c>
      <c r="G856" t="s">
        <v>322</v>
      </c>
      <c r="H856" t="s">
        <v>321</v>
      </c>
      <c r="I856" t="s">
        <v>426</v>
      </c>
      <c r="J856" t="s">
        <v>171</v>
      </c>
      <c r="K856" t="s">
        <v>2</v>
      </c>
      <c r="L856">
        <v>27447</v>
      </c>
      <c r="M856">
        <v>18</v>
      </c>
      <c r="N856">
        <v>8</v>
      </c>
      <c r="O856">
        <v>3027.8429999999998</v>
      </c>
      <c r="P856">
        <v>42</v>
      </c>
      <c r="Q856">
        <v>115</v>
      </c>
      <c r="R856">
        <v>4</v>
      </c>
      <c r="S856" t="s">
        <v>116</v>
      </c>
      <c r="T856">
        <v>4</v>
      </c>
      <c r="U856">
        <v>2</v>
      </c>
      <c r="V856">
        <v>3</v>
      </c>
      <c r="W856">
        <v>0</v>
      </c>
      <c r="X856">
        <v>0</v>
      </c>
      <c r="Y856" s="20">
        <f>SUM(Table1[[#This Row],[dty_type_cnt1]:[dty_type_cnt5]])</f>
        <v>9</v>
      </c>
    </row>
    <row r="857" spans="1:25" x14ac:dyDescent="0.25">
      <c r="A857" s="15">
        <v>46107</v>
      </c>
      <c r="B857" t="s">
        <v>430</v>
      </c>
      <c r="C857" t="s">
        <v>319</v>
      </c>
      <c r="D857" t="s">
        <v>176</v>
      </c>
      <c r="E857" t="s">
        <v>337</v>
      </c>
      <c r="F857" t="s">
        <v>338</v>
      </c>
      <c r="G857" t="s">
        <v>322</v>
      </c>
      <c r="H857" t="s">
        <v>321</v>
      </c>
      <c r="I857" t="s">
        <v>426</v>
      </c>
      <c r="J857" t="s">
        <v>171</v>
      </c>
      <c r="K857" t="s">
        <v>2</v>
      </c>
      <c r="L857">
        <v>27447</v>
      </c>
      <c r="M857">
        <v>48</v>
      </c>
      <c r="N857">
        <v>16</v>
      </c>
      <c r="O857">
        <v>6679.2</v>
      </c>
      <c r="P857">
        <v>280</v>
      </c>
      <c r="Q857">
        <v>40</v>
      </c>
      <c r="R857">
        <v>8</v>
      </c>
      <c r="S857" t="s">
        <v>116</v>
      </c>
      <c r="T857">
        <v>8</v>
      </c>
      <c r="U857">
        <v>8</v>
      </c>
      <c r="V857">
        <v>8</v>
      </c>
      <c r="W857">
        <v>0</v>
      </c>
      <c r="X857">
        <v>0</v>
      </c>
      <c r="Y857" s="20">
        <f>SUM(Table1[[#This Row],[dty_type_cnt1]:[dty_type_cnt5]])</f>
        <v>24</v>
      </c>
    </row>
    <row r="858" spans="1:25" x14ac:dyDescent="0.25">
      <c r="A858" s="15">
        <v>46107</v>
      </c>
      <c r="B858" t="s">
        <v>430</v>
      </c>
      <c r="C858" t="s">
        <v>319</v>
      </c>
      <c r="D858" t="s">
        <v>176</v>
      </c>
      <c r="E858" t="s">
        <v>339</v>
      </c>
      <c r="F858" t="s">
        <v>340</v>
      </c>
      <c r="G858" t="s">
        <v>322</v>
      </c>
      <c r="H858" t="s">
        <v>321</v>
      </c>
      <c r="I858" t="s">
        <v>426</v>
      </c>
      <c r="J858" t="s">
        <v>76</v>
      </c>
      <c r="K858" t="s">
        <v>2</v>
      </c>
      <c r="L858">
        <v>27447</v>
      </c>
      <c r="M858">
        <v>147</v>
      </c>
      <c r="N858">
        <v>26</v>
      </c>
      <c r="O858">
        <v>2447.1779999999999</v>
      </c>
      <c r="P858">
        <v>254.2</v>
      </c>
      <c r="Q858">
        <v>12</v>
      </c>
      <c r="R858">
        <v>13</v>
      </c>
      <c r="S858" t="s">
        <v>116</v>
      </c>
      <c r="T858">
        <v>8</v>
      </c>
      <c r="U858">
        <v>10</v>
      </c>
      <c r="V858">
        <v>3</v>
      </c>
      <c r="W858">
        <v>0</v>
      </c>
      <c r="X858">
        <v>0</v>
      </c>
      <c r="Y858" s="20">
        <f>SUM(Table1[[#This Row],[dty_type_cnt1]:[dty_type_cnt5]])</f>
        <v>21</v>
      </c>
    </row>
    <row r="859" spans="1:25" x14ac:dyDescent="0.25">
      <c r="A859" s="15">
        <v>46107</v>
      </c>
      <c r="B859" t="s">
        <v>430</v>
      </c>
      <c r="C859" t="s">
        <v>319</v>
      </c>
      <c r="D859" t="s">
        <v>176</v>
      </c>
      <c r="E859" t="s">
        <v>341</v>
      </c>
      <c r="F859" t="s">
        <v>342</v>
      </c>
      <c r="G859" t="s">
        <v>322</v>
      </c>
      <c r="H859" t="s">
        <v>321</v>
      </c>
      <c r="I859" t="s">
        <v>426</v>
      </c>
      <c r="J859" t="s">
        <v>76</v>
      </c>
      <c r="K859" t="s">
        <v>2</v>
      </c>
      <c r="L859">
        <v>27447</v>
      </c>
      <c r="M859">
        <v>64</v>
      </c>
      <c r="N859">
        <v>14</v>
      </c>
      <c r="O859">
        <v>1300.7329999999999</v>
      </c>
      <c r="P859">
        <v>133.69999999999999</v>
      </c>
      <c r="Q859">
        <v>20</v>
      </c>
      <c r="R859">
        <v>7</v>
      </c>
      <c r="S859" t="s">
        <v>116</v>
      </c>
      <c r="T859">
        <v>6</v>
      </c>
      <c r="U859">
        <v>5</v>
      </c>
      <c r="V859">
        <v>2</v>
      </c>
      <c r="W859">
        <v>0</v>
      </c>
      <c r="X859">
        <v>0</v>
      </c>
      <c r="Y859" s="20">
        <f>SUM(Table1[[#This Row],[dty_type_cnt1]:[dty_type_cnt5]])</f>
        <v>13</v>
      </c>
    </row>
    <row r="860" spans="1:25" x14ac:dyDescent="0.25">
      <c r="A860" s="15">
        <v>46107</v>
      </c>
      <c r="B860" t="s">
        <v>430</v>
      </c>
      <c r="C860" t="s">
        <v>319</v>
      </c>
      <c r="D860" t="s">
        <v>176</v>
      </c>
      <c r="E860" t="s">
        <v>343</v>
      </c>
      <c r="F860" t="s">
        <v>344</v>
      </c>
      <c r="G860" t="s">
        <v>322</v>
      </c>
      <c r="H860" t="s">
        <v>321</v>
      </c>
      <c r="I860" t="s">
        <v>426</v>
      </c>
      <c r="J860" t="s">
        <v>76</v>
      </c>
      <c r="K860" t="s">
        <v>2</v>
      </c>
      <c r="L860">
        <v>27447</v>
      </c>
      <c r="M860">
        <v>106</v>
      </c>
      <c r="N860">
        <v>16</v>
      </c>
      <c r="O860">
        <v>1526.1420000000001</v>
      </c>
      <c r="P860">
        <v>152.1</v>
      </c>
      <c r="Q860">
        <v>15</v>
      </c>
      <c r="R860">
        <v>8</v>
      </c>
      <c r="S860" t="s">
        <v>116</v>
      </c>
      <c r="T860">
        <v>7</v>
      </c>
      <c r="U860">
        <v>5</v>
      </c>
      <c r="V860">
        <v>3</v>
      </c>
      <c r="W860">
        <v>0</v>
      </c>
      <c r="X860">
        <v>0</v>
      </c>
      <c r="Y860" s="20">
        <f>SUM(Table1[[#This Row],[dty_type_cnt1]:[dty_type_cnt5]])</f>
        <v>15</v>
      </c>
    </row>
    <row r="861" spans="1:25" x14ac:dyDescent="0.25">
      <c r="A861" s="15">
        <v>46101</v>
      </c>
      <c r="B861" t="s">
        <v>430</v>
      </c>
      <c r="C861" t="s">
        <v>319</v>
      </c>
      <c r="D861" t="s">
        <v>176</v>
      </c>
      <c r="E861" t="s">
        <v>345</v>
      </c>
      <c r="F861" t="s">
        <v>346</v>
      </c>
      <c r="G861" t="s">
        <v>322</v>
      </c>
      <c r="H861" t="s">
        <v>321</v>
      </c>
      <c r="I861" t="s">
        <v>426</v>
      </c>
      <c r="J861" t="s">
        <v>76</v>
      </c>
      <c r="K861" t="s">
        <v>2</v>
      </c>
      <c r="L861">
        <v>27447</v>
      </c>
      <c r="M861">
        <v>54</v>
      </c>
      <c r="N861">
        <v>8</v>
      </c>
      <c r="O861">
        <v>812.452</v>
      </c>
      <c r="P861">
        <v>76.400000000000006</v>
      </c>
      <c r="Q861">
        <v>30</v>
      </c>
      <c r="R861">
        <v>4</v>
      </c>
      <c r="S861" t="s">
        <v>116</v>
      </c>
      <c r="T861">
        <v>4</v>
      </c>
      <c r="U861">
        <v>4</v>
      </c>
      <c r="V861">
        <v>0</v>
      </c>
      <c r="W861">
        <v>0</v>
      </c>
      <c r="X861">
        <v>0</v>
      </c>
      <c r="Y861" s="20">
        <f>SUM(Table1[[#This Row],[dty_type_cnt1]:[dty_type_cnt5]])</f>
        <v>8</v>
      </c>
    </row>
    <row r="862" spans="1:25" x14ac:dyDescent="0.25">
      <c r="A862" s="15">
        <v>46101</v>
      </c>
      <c r="B862" t="s">
        <v>430</v>
      </c>
      <c r="C862" t="s">
        <v>319</v>
      </c>
      <c r="D862" t="s">
        <v>176</v>
      </c>
      <c r="E862" t="s">
        <v>347</v>
      </c>
      <c r="F862" t="s">
        <v>348</v>
      </c>
      <c r="G862" t="s">
        <v>322</v>
      </c>
      <c r="H862" t="s">
        <v>321</v>
      </c>
      <c r="I862" t="s">
        <v>426</v>
      </c>
      <c r="J862" t="s">
        <v>76</v>
      </c>
      <c r="K862" t="s">
        <v>2</v>
      </c>
      <c r="L862">
        <v>27447</v>
      </c>
      <c r="M862">
        <v>51</v>
      </c>
      <c r="N862">
        <v>6</v>
      </c>
      <c r="O862">
        <v>556.49199999999996</v>
      </c>
      <c r="P862">
        <v>42.6</v>
      </c>
      <c r="Q862">
        <v>30</v>
      </c>
      <c r="R862">
        <v>3</v>
      </c>
      <c r="S862" t="s">
        <v>116</v>
      </c>
      <c r="T862">
        <v>2</v>
      </c>
      <c r="U862">
        <v>3</v>
      </c>
      <c r="V862">
        <v>0</v>
      </c>
      <c r="W862">
        <v>0</v>
      </c>
      <c r="X862">
        <v>0</v>
      </c>
      <c r="Y862" s="20">
        <f>SUM(Table1[[#This Row],[dty_type_cnt1]:[dty_type_cnt5]])</f>
        <v>5</v>
      </c>
    </row>
    <row r="863" spans="1:25" x14ac:dyDescent="0.25">
      <c r="A863" s="15">
        <v>46101</v>
      </c>
      <c r="B863" t="s">
        <v>430</v>
      </c>
      <c r="C863" t="s">
        <v>319</v>
      </c>
      <c r="D863" t="s">
        <v>262</v>
      </c>
      <c r="E863" t="s">
        <v>427</v>
      </c>
      <c r="F863" t="s">
        <v>428</v>
      </c>
      <c r="G863" t="s">
        <v>322</v>
      </c>
      <c r="H863" t="s">
        <v>321</v>
      </c>
      <c r="I863" t="s">
        <v>426</v>
      </c>
      <c r="J863" t="s">
        <v>76</v>
      </c>
      <c r="K863" t="s">
        <v>2</v>
      </c>
      <c r="L863">
        <v>27447</v>
      </c>
      <c r="M863">
        <v>101</v>
      </c>
      <c r="N863">
        <v>10</v>
      </c>
      <c r="O863">
        <v>699.13800000000003</v>
      </c>
      <c r="P863">
        <v>59.6</v>
      </c>
      <c r="Q863">
        <v>20</v>
      </c>
      <c r="R863">
        <v>4</v>
      </c>
      <c r="S863" t="s">
        <v>116</v>
      </c>
      <c r="T863">
        <v>4</v>
      </c>
      <c r="U863">
        <v>3</v>
      </c>
      <c r="V863">
        <v>4</v>
      </c>
      <c r="W863">
        <v>0</v>
      </c>
      <c r="X863">
        <v>0</v>
      </c>
      <c r="Y863" s="20">
        <f>SUM(Table1[[#This Row],[dty_type_cnt1]:[dty_type_cnt5]])</f>
        <v>11</v>
      </c>
    </row>
    <row r="864" spans="1:25" x14ac:dyDescent="0.25">
      <c r="A864" s="15">
        <v>46101</v>
      </c>
      <c r="B864" t="s">
        <v>430</v>
      </c>
      <c r="C864" t="s">
        <v>319</v>
      </c>
      <c r="D864" t="s">
        <v>176</v>
      </c>
      <c r="E864" t="s">
        <v>349</v>
      </c>
      <c r="F864" t="s">
        <v>350</v>
      </c>
      <c r="G864" t="s">
        <v>322</v>
      </c>
      <c r="H864" t="s">
        <v>321</v>
      </c>
      <c r="I864" t="s">
        <v>426</v>
      </c>
      <c r="J864" t="s">
        <v>171</v>
      </c>
      <c r="K864" t="s">
        <v>2</v>
      </c>
      <c r="L864">
        <v>27447</v>
      </c>
      <c r="M864">
        <v>73</v>
      </c>
      <c r="N864">
        <v>8</v>
      </c>
      <c r="O864">
        <v>710.14800000000002</v>
      </c>
      <c r="P864">
        <v>66.3</v>
      </c>
      <c r="Q864">
        <v>30</v>
      </c>
      <c r="R864">
        <v>4</v>
      </c>
      <c r="S864" t="s">
        <v>116</v>
      </c>
      <c r="T864">
        <v>5</v>
      </c>
      <c r="U864">
        <v>3</v>
      </c>
      <c r="V864">
        <v>1</v>
      </c>
      <c r="W864">
        <v>0</v>
      </c>
      <c r="X864">
        <v>0</v>
      </c>
      <c r="Y864" s="20">
        <f>SUM(Table1[[#This Row],[dty_type_cnt1]:[dty_type_cnt5]])</f>
        <v>9</v>
      </c>
    </row>
    <row r="865" spans="1:25" x14ac:dyDescent="0.25">
      <c r="A865" s="15">
        <v>46101</v>
      </c>
      <c r="B865" t="s">
        <v>430</v>
      </c>
      <c r="C865" t="s">
        <v>319</v>
      </c>
      <c r="D865" t="s">
        <v>176</v>
      </c>
      <c r="E865" t="s">
        <v>351</v>
      </c>
      <c r="F865" t="s">
        <v>352</v>
      </c>
      <c r="G865" t="s">
        <v>322</v>
      </c>
      <c r="H865" t="s">
        <v>321</v>
      </c>
      <c r="I865" t="s">
        <v>426</v>
      </c>
      <c r="J865" t="s">
        <v>76</v>
      </c>
      <c r="K865" t="s">
        <v>2</v>
      </c>
      <c r="L865">
        <v>27447</v>
      </c>
      <c r="M865">
        <v>74</v>
      </c>
      <c r="N865">
        <v>18</v>
      </c>
      <c r="O865">
        <v>2451.509</v>
      </c>
      <c r="P865">
        <v>246.4</v>
      </c>
      <c r="Q865">
        <v>20</v>
      </c>
      <c r="R865">
        <v>9</v>
      </c>
      <c r="S865" t="s">
        <v>116</v>
      </c>
      <c r="T865">
        <v>7</v>
      </c>
      <c r="U865">
        <v>6</v>
      </c>
      <c r="V865">
        <v>4</v>
      </c>
      <c r="W865">
        <v>0</v>
      </c>
      <c r="X865">
        <v>0</v>
      </c>
      <c r="Y865" s="20">
        <f>SUM(Table1[[#This Row],[dty_type_cnt1]:[dty_type_cnt5]])</f>
        <v>17</v>
      </c>
    </row>
    <row r="866" spans="1:25" x14ac:dyDescent="0.25">
      <c r="A866" s="15">
        <v>46101</v>
      </c>
      <c r="B866" t="s">
        <v>430</v>
      </c>
      <c r="C866" t="s">
        <v>319</v>
      </c>
      <c r="D866" t="s">
        <v>176</v>
      </c>
      <c r="E866" t="s">
        <v>353</v>
      </c>
      <c r="F866" t="s">
        <v>354</v>
      </c>
      <c r="G866" t="s">
        <v>322</v>
      </c>
      <c r="H866" t="s">
        <v>321</v>
      </c>
      <c r="I866" t="s">
        <v>426</v>
      </c>
      <c r="J866" t="s">
        <v>171</v>
      </c>
      <c r="K866" t="s">
        <v>2</v>
      </c>
      <c r="L866">
        <v>27447</v>
      </c>
      <c r="M866">
        <v>32</v>
      </c>
      <c r="N866">
        <v>12</v>
      </c>
      <c r="O866">
        <v>866.81600000000003</v>
      </c>
      <c r="P866">
        <v>68.400000000000006</v>
      </c>
      <c r="Q866">
        <v>60</v>
      </c>
      <c r="R866">
        <v>3</v>
      </c>
      <c r="S866" t="s">
        <v>116</v>
      </c>
      <c r="T866">
        <v>3</v>
      </c>
      <c r="U866">
        <v>3</v>
      </c>
      <c r="V866">
        <v>0</v>
      </c>
      <c r="W866">
        <v>0</v>
      </c>
      <c r="X866">
        <v>0</v>
      </c>
      <c r="Y866" s="20">
        <f>SUM(Table1[[#This Row],[dty_type_cnt1]:[dty_type_cnt5]])</f>
        <v>6</v>
      </c>
    </row>
    <row r="867" spans="1:25" x14ac:dyDescent="0.25">
      <c r="A867" s="15">
        <v>46101</v>
      </c>
      <c r="B867" t="s">
        <v>430</v>
      </c>
      <c r="C867" t="s">
        <v>319</v>
      </c>
      <c r="D867" t="s">
        <v>176</v>
      </c>
      <c r="E867" t="s">
        <v>355</v>
      </c>
      <c r="F867" t="s">
        <v>356</v>
      </c>
      <c r="G867" t="s">
        <v>322</v>
      </c>
      <c r="H867" t="s">
        <v>321</v>
      </c>
      <c r="I867" t="s">
        <v>426</v>
      </c>
      <c r="J867" t="s">
        <v>171</v>
      </c>
      <c r="K867" t="s">
        <v>2</v>
      </c>
      <c r="L867">
        <v>27447</v>
      </c>
      <c r="M867">
        <v>20</v>
      </c>
      <c r="N867">
        <v>6</v>
      </c>
      <c r="O867">
        <v>2410.69</v>
      </c>
      <c r="P867">
        <v>0.6</v>
      </c>
      <c r="Q867">
        <v>100</v>
      </c>
      <c r="R867">
        <v>3</v>
      </c>
      <c r="S867" t="s">
        <v>116</v>
      </c>
      <c r="T867">
        <v>4</v>
      </c>
      <c r="U867">
        <v>1</v>
      </c>
      <c r="V867">
        <v>2</v>
      </c>
      <c r="W867">
        <v>0</v>
      </c>
      <c r="X867">
        <v>0</v>
      </c>
      <c r="Y867" s="20">
        <f>SUM(Table1[[#This Row],[dty_type_cnt1]:[dty_type_cnt5]])</f>
        <v>7</v>
      </c>
    </row>
    <row r="868" spans="1:25" x14ac:dyDescent="0.25">
      <c r="A868" s="15">
        <v>46101</v>
      </c>
      <c r="B868" t="s">
        <v>430</v>
      </c>
      <c r="C868" t="s">
        <v>319</v>
      </c>
      <c r="D868" t="s">
        <v>54</v>
      </c>
      <c r="E868" t="s">
        <v>92</v>
      </c>
      <c r="F868" t="s">
        <v>357</v>
      </c>
      <c r="G868" t="s">
        <v>322</v>
      </c>
      <c r="H868" t="s">
        <v>321</v>
      </c>
      <c r="I868" t="s">
        <v>426</v>
      </c>
      <c r="J868" t="s">
        <v>76</v>
      </c>
      <c r="K868" t="s">
        <v>2</v>
      </c>
      <c r="L868">
        <v>27447</v>
      </c>
      <c r="M868">
        <v>196</v>
      </c>
      <c r="N868">
        <v>18</v>
      </c>
      <c r="O868">
        <v>810.68499999999995</v>
      </c>
      <c r="P868">
        <v>66.900000000000006</v>
      </c>
      <c r="Q868">
        <v>8</v>
      </c>
      <c r="R868">
        <v>7</v>
      </c>
      <c r="S868" t="s">
        <v>116</v>
      </c>
      <c r="T868">
        <v>5</v>
      </c>
      <c r="U868">
        <v>7</v>
      </c>
      <c r="V868">
        <v>0</v>
      </c>
      <c r="W868">
        <v>0</v>
      </c>
      <c r="X868">
        <v>0</v>
      </c>
      <c r="Y868" s="20">
        <f>SUM(Table1[[#This Row],[dty_type_cnt1]:[dty_type_cnt5]])</f>
        <v>12</v>
      </c>
    </row>
    <row r="869" spans="1:25" x14ac:dyDescent="0.25">
      <c r="A869" s="15">
        <v>46101</v>
      </c>
      <c r="B869" t="s">
        <v>430</v>
      </c>
      <c r="C869" t="s">
        <v>319</v>
      </c>
      <c r="D869" t="s">
        <v>262</v>
      </c>
      <c r="E869" t="s">
        <v>359</v>
      </c>
      <c r="F869" t="s">
        <v>336</v>
      </c>
      <c r="G869" t="s">
        <v>322</v>
      </c>
      <c r="H869" t="s">
        <v>321</v>
      </c>
      <c r="I869" t="s">
        <v>426</v>
      </c>
      <c r="J869" t="s">
        <v>171</v>
      </c>
      <c r="K869" t="s">
        <v>2</v>
      </c>
      <c r="L869">
        <v>27447</v>
      </c>
      <c r="M869">
        <v>18</v>
      </c>
      <c r="N869">
        <v>6</v>
      </c>
      <c r="O869">
        <v>2439.261</v>
      </c>
      <c r="P869">
        <v>21.2</v>
      </c>
      <c r="Q869">
        <v>120</v>
      </c>
      <c r="R869">
        <v>3</v>
      </c>
      <c r="S869" t="s">
        <v>116</v>
      </c>
      <c r="T869">
        <v>4</v>
      </c>
      <c r="U869">
        <v>2</v>
      </c>
      <c r="V869">
        <v>3</v>
      </c>
      <c r="W869">
        <v>0</v>
      </c>
      <c r="X869">
        <v>0</v>
      </c>
      <c r="Y869" s="20">
        <f>SUM(Table1[[#This Row],[dty_type_cnt1]:[dty_type_cnt5]])</f>
        <v>9</v>
      </c>
    </row>
    <row r="870" spans="1:25" x14ac:dyDescent="0.25">
      <c r="A870" s="15">
        <v>46101</v>
      </c>
      <c r="B870" t="s">
        <v>430</v>
      </c>
      <c r="C870" t="s">
        <v>319</v>
      </c>
      <c r="D870" t="s">
        <v>406</v>
      </c>
      <c r="E870" t="s">
        <v>360</v>
      </c>
      <c r="F870" t="s">
        <v>361</v>
      </c>
      <c r="G870" t="s">
        <v>322</v>
      </c>
      <c r="H870" t="s">
        <v>321</v>
      </c>
      <c r="I870" t="s">
        <v>426</v>
      </c>
      <c r="J870" t="s">
        <v>171</v>
      </c>
      <c r="K870" t="s">
        <v>2</v>
      </c>
      <c r="L870">
        <v>27447</v>
      </c>
      <c r="M870">
        <v>14</v>
      </c>
      <c r="N870">
        <v>6</v>
      </c>
      <c r="O870">
        <v>1876.546</v>
      </c>
      <c r="P870">
        <v>130.80000000000001</v>
      </c>
      <c r="Q870">
        <v>120</v>
      </c>
      <c r="R870">
        <v>3</v>
      </c>
      <c r="S870" t="s">
        <v>116</v>
      </c>
      <c r="T870">
        <v>3</v>
      </c>
      <c r="U870">
        <v>2</v>
      </c>
      <c r="V870">
        <v>2</v>
      </c>
      <c r="W870">
        <v>0</v>
      </c>
      <c r="X870">
        <v>0</v>
      </c>
      <c r="Y870" s="20">
        <f>SUM(Table1[[#This Row],[dty_type_cnt1]:[dty_type_cnt5]])</f>
        <v>7</v>
      </c>
    </row>
    <row r="871" spans="1:25" x14ac:dyDescent="0.25">
      <c r="A871" s="15">
        <v>46101</v>
      </c>
      <c r="B871" t="s">
        <v>430</v>
      </c>
      <c r="C871" t="s">
        <v>319</v>
      </c>
      <c r="D871" t="s">
        <v>362</v>
      </c>
      <c r="E871" t="s">
        <v>363</v>
      </c>
      <c r="F871" t="s">
        <v>364</v>
      </c>
      <c r="G871" t="s">
        <v>322</v>
      </c>
      <c r="H871" t="s">
        <v>321</v>
      </c>
      <c r="I871" t="s">
        <v>426</v>
      </c>
      <c r="J871" t="s">
        <v>63</v>
      </c>
      <c r="K871" t="s">
        <v>2</v>
      </c>
      <c r="L871">
        <v>27447</v>
      </c>
      <c r="M871">
        <v>50</v>
      </c>
      <c r="N871">
        <v>6</v>
      </c>
      <c r="O871">
        <v>508.125</v>
      </c>
      <c r="P871">
        <v>14.2</v>
      </c>
      <c r="Q871">
        <v>30</v>
      </c>
      <c r="R871">
        <v>2</v>
      </c>
      <c r="S871" t="s">
        <v>116</v>
      </c>
      <c r="T871">
        <v>2</v>
      </c>
      <c r="U871">
        <v>2</v>
      </c>
      <c r="V871">
        <v>0</v>
      </c>
      <c r="W871">
        <v>0</v>
      </c>
      <c r="X871">
        <v>0</v>
      </c>
      <c r="Y871" s="20">
        <f>SUM(Table1[[#This Row],[dty_type_cnt1]:[dty_type_cnt5]])</f>
        <v>4</v>
      </c>
    </row>
    <row r="872" spans="1:25" x14ac:dyDescent="0.25">
      <c r="A872" s="15">
        <v>46101</v>
      </c>
      <c r="B872" t="s">
        <v>430</v>
      </c>
      <c r="C872" t="s">
        <v>319</v>
      </c>
      <c r="D872" t="s">
        <v>406</v>
      </c>
      <c r="E872" t="s">
        <v>365</v>
      </c>
      <c r="F872" t="s">
        <v>366</v>
      </c>
      <c r="G872" t="s">
        <v>322</v>
      </c>
      <c r="H872" t="s">
        <v>321</v>
      </c>
      <c r="I872" t="s">
        <v>426</v>
      </c>
      <c r="J872" t="s">
        <v>63</v>
      </c>
      <c r="K872" t="s">
        <v>2</v>
      </c>
      <c r="L872">
        <v>27447</v>
      </c>
      <c r="M872">
        <v>29</v>
      </c>
      <c r="N872">
        <v>32</v>
      </c>
      <c r="O872">
        <v>836.96900000000005</v>
      </c>
      <c r="P872">
        <v>3.278</v>
      </c>
      <c r="Q872">
        <v>30</v>
      </c>
      <c r="R872">
        <v>3</v>
      </c>
      <c r="S872" t="s">
        <v>116</v>
      </c>
      <c r="T872">
        <v>3</v>
      </c>
      <c r="U872">
        <v>3</v>
      </c>
      <c r="V872">
        <v>0</v>
      </c>
      <c r="W872">
        <v>0</v>
      </c>
      <c r="X872">
        <v>0</v>
      </c>
      <c r="Y872" s="20">
        <f>SUM(Table1[[#This Row],[dty_type_cnt1]:[dty_type_cnt5]])</f>
        <v>6</v>
      </c>
    </row>
    <row r="873" spans="1:25" x14ac:dyDescent="0.25">
      <c r="A873" s="15">
        <v>46101</v>
      </c>
      <c r="B873" t="s">
        <v>430</v>
      </c>
      <c r="C873" t="s">
        <v>319</v>
      </c>
      <c r="D873" t="s">
        <v>101</v>
      </c>
      <c r="E873" t="s">
        <v>102</v>
      </c>
      <c r="F873" t="s">
        <v>103</v>
      </c>
      <c r="G873" t="s">
        <v>322</v>
      </c>
      <c r="H873" t="s">
        <v>321</v>
      </c>
      <c r="I873" t="s">
        <v>426</v>
      </c>
      <c r="J873" t="s">
        <v>171</v>
      </c>
      <c r="K873" t="s">
        <v>2</v>
      </c>
      <c r="L873">
        <v>27447</v>
      </c>
      <c r="M873">
        <v>16</v>
      </c>
      <c r="N873">
        <v>6</v>
      </c>
      <c r="O873">
        <v>523.54399999999998</v>
      </c>
      <c r="P873">
        <v>45.3</v>
      </c>
      <c r="Q873">
        <v>60</v>
      </c>
      <c r="R873">
        <v>3</v>
      </c>
      <c r="S873" t="s">
        <v>116</v>
      </c>
      <c r="T873">
        <v>0</v>
      </c>
      <c r="U873">
        <v>0</v>
      </c>
      <c r="V873">
        <v>3</v>
      </c>
      <c r="W873">
        <v>0</v>
      </c>
      <c r="X873">
        <v>0</v>
      </c>
      <c r="Y873" s="20">
        <f>SUM(Table1[[#This Row],[dty_type_cnt1]:[dty_type_cnt5]])</f>
        <v>3</v>
      </c>
    </row>
    <row r="874" spans="1:25" x14ac:dyDescent="0.25">
      <c r="A874" s="15">
        <v>46101</v>
      </c>
      <c r="B874" t="s">
        <v>430</v>
      </c>
      <c r="C874" t="s">
        <v>319</v>
      </c>
      <c r="D874" t="s">
        <v>262</v>
      </c>
      <c r="E874" t="s">
        <v>367</v>
      </c>
      <c r="F874" t="s">
        <v>368</v>
      </c>
      <c r="G874" t="s">
        <v>322</v>
      </c>
      <c r="H874" t="s">
        <v>321</v>
      </c>
      <c r="I874" t="s">
        <v>426</v>
      </c>
      <c r="J874" t="s">
        <v>171</v>
      </c>
      <c r="K874" t="s">
        <v>2</v>
      </c>
      <c r="L874">
        <v>27447</v>
      </c>
      <c r="M874">
        <v>22</v>
      </c>
      <c r="N874">
        <v>10</v>
      </c>
      <c r="O874">
        <v>795.52</v>
      </c>
      <c r="P874">
        <v>215</v>
      </c>
      <c r="Q874">
        <v>60</v>
      </c>
      <c r="R874">
        <v>5</v>
      </c>
      <c r="S874" t="s">
        <v>116</v>
      </c>
      <c r="T874">
        <v>5</v>
      </c>
      <c r="U874">
        <v>3</v>
      </c>
      <c r="V874">
        <v>2</v>
      </c>
      <c r="W874">
        <v>0</v>
      </c>
      <c r="X874">
        <v>0</v>
      </c>
      <c r="Y874" s="20">
        <f>SUM(Table1[[#This Row],[dty_type_cnt1]:[dty_type_cnt5]])</f>
        <v>10</v>
      </c>
    </row>
    <row r="875" spans="1:25" x14ac:dyDescent="0.25">
      <c r="A875" s="15">
        <v>46101</v>
      </c>
      <c r="B875" t="s">
        <v>430</v>
      </c>
      <c r="C875" t="s">
        <v>319</v>
      </c>
      <c r="D875" t="s">
        <v>262</v>
      </c>
      <c r="E875" t="s">
        <v>370</v>
      </c>
      <c r="F875" t="s">
        <v>371</v>
      </c>
      <c r="G875" t="s">
        <v>322</v>
      </c>
      <c r="H875" t="s">
        <v>321</v>
      </c>
      <c r="I875" t="s">
        <v>426</v>
      </c>
      <c r="J875" t="s">
        <v>63</v>
      </c>
      <c r="K875" t="s">
        <v>2</v>
      </c>
      <c r="L875">
        <v>27447</v>
      </c>
      <c r="M875">
        <v>35</v>
      </c>
      <c r="N875">
        <v>4</v>
      </c>
      <c r="O875">
        <v>287.226</v>
      </c>
      <c r="P875">
        <v>20.9</v>
      </c>
      <c r="Q875">
        <v>30</v>
      </c>
      <c r="R875">
        <v>2</v>
      </c>
      <c r="S875" t="s">
        <v>116</v>
      </c>
      <c r="T875">
        <v>0</v>
      </c>
      <c r="U875">
        <v>2</v>
      </c>
      <c r="V875">
        <v>0</v>
      </c>
      <c r="W875">
        <v>0</v>
      </c>
      <c r="X875">
        <v>0</v>
      </c>
      <c r="Y875" s="20">
        <f>SUM(Table1[[#This Row],[dty_type_cnt1]:[dty_type_cnt5]])</f>
        <v>2</v>
      </c>
    </row>
    <row r="876" spans="1:25" x14ac:dyDescent="0.25">
      <c r="A876" s="15">
        <v>46101</v>
      </c>
      <c r="B876" t="s">
        <v>430</v>
      </c>
      <c r="C876" t="s">
        <v>319</v>
      </c>
      <c r="D876" t="s">
        <v>46</v>
      </c>
      <c r="E876">
        <v>6</v>
      </c>
      <c r="F876" t="s">
        <v>324</v>
      </c>
      <c r="G876" t="s">
        <v>322</v>
      </c>
      <c r="H876" t="s">
        <v>321</v>
      </c>
      <c r="I876" t="s">
        <v>426</v>
      </c>
      <c r="J876" t="s">
        <v>63</v>
      </c>
      <c r="K876" t="s">
        <v>45</v>
      </c>
      <c r="L876">
        <v>27450</v>
      </c>
      <c r="M876">
        <v>19</v>
      </c>
      <c r="N876">
        <v>2</v>
      </c>
      <c r="O876">
        <v>181.14599999999999</v>
      </c>
      <c r="P876">
        <v>27.8</v>
      </c>
      <c r="Q876">
        <v>60</v>
      </c>
      <c r="R876">
        <v>1</v>
      </c>
      <c r="S876" t="s">
        <v>116</v>
      </c>
      <c r="T876">
        <v>1</v>
      </c>
      <c r="U876">
        <v>1</v>
      </c>
      <c r="V876">
        <v>0</v>
      </c>
      <c r="W876">
        <v>0</v>
      </c>
      <c r="X876">
        <v>0</v>
      </c>
      <c r="Y876" s="20">
        <f>SUM(Table1[[#This Row],[dty_type_cnt1]:[dty_type_cnt5]])</f>
        <v>2</v>
      </c>
    </row>
    <row r="877" spans="1:25" x14ac:dyDescent="0.25">
      <c r="A877" s="15">
        <v>46101</v>
      </c>
      <c r="B877" t="s">
        <v>430</v>
      </c>
      <c r="C877" t="s">
        <v>319</v>
      </c>
      <c r="D877" t="s">
        <v>46</v>
      </c>
      <c r="E877">
        <v>25</v>
      </c>
      <c r="F877" t="s">
        <v>111</v>
      </c>
      <c r="G877" t="s">
        <v>322</v>
      </c>
      <c r="H877" t="s">
        <v>321</v>
      </c>
      <c r="I877" t="s">
        <v>426</v>
      </c>
      <c r="J877" t="s">
        <v>171</v>
      </c>
      <c r="K877" t="s">
        <v>45</v>
      </c>
      <c r="L877">
        <v>27450</v>
      </c>
      <c r="M877">
        <v>88</v>
      </c>
      <c r="N877">
        <v>12</v>
      </c>
      <c r="O877">
        <v>1252.5429999999999</v>
      </c>
      <c r="P877">
        <v>134.9</v>
      </c>
      <c r="Q877">
        <v>25</v>
      </c>
      <c r="R877">
        <v>6</v>
      </c>
      <c r="S877" t="s">
        <v>116</v>
      </c>
      <c r="T877">
        <v>5</v>
      </c>
      <c r="U877">
        <v>5</v>
      </c>
      <c r="V877">
        <v>2</v>
      </c>
      <c r="W877">
        <v>0</v>
      </c>
      <c r="X877">
        <v>0</v>
      </c>
      <c r="Y877" s="20">
        <f>SUM(Table1[[#This Row],[dty_type_cnt1]:[dty_type_cnt5]])</f>
        <v>12</v>
      </c>
    </row>
    <row r="878" spans="1:25" x14ac:dyDescent="0.25">
      <c r="A878" s="15">
        <v>46101</v>
      </c>
      <c r="B878" t="s">
        <v>430</v>
      </c>
      <c r="C878" t="s">
        <v>319</v>
      </c>
      <c r="D878" t="s">
        <v>46</v>
      </c>
      <c r="E878" t="s">
        <v>327</v>
      </c>
      <c r="F878" t="s">
        <v>328</v>
      </c>
      <c r="G878" t="s">
        <v>322</v>
      </c>
      <c r="H878" t="s">
        <v>321</v>
      </c>
      <c r="I878" t="s">
        <v>426</v>
      </c>
      <c r="J878" t="s">
        <v>0</v>
      </c>
      <c r="K878" t="s">
        <v>45</v>
      </c>
      <c r="L878">
        <v>27450</v>
      </c>
      <c r="M878">
        <v>34</v>
      </c>
      <c r="N878">
        <v>4</v>
      </c>
      <c r="O878">
        <v>500.51400000000001</v>
      </c>
      <c r="P878">
        <v>15.8</v>
      </c>
      <c r="Q878">
        <v>30</v>
      </c>
      <c r="R878">
        <v>2</v>
      </c>
      <c r="S878" t="s">
        <v>116</v>
      </c>
      <c r="T878">
        <v>2</v>
      </c>
      <c r="U878">
        <v>2</v>
      </c>
      <c r="V878">
        <v>0</v>
      </c>
      <c r="W878">
        <v>0</v>
      </c>
      <c r="X878">
        <v>0</v>
      </c>
      <c r="Y878" s="20">
        <f>SUM(Table1[[#This Row],[dty_type_cnt1]:[dty_type_cnt5]])</f>
        <v>4</v>
      </c>
    </row>
    <row r="879" spans="1:25" x14ac:dyDescent="0.25">
      <c r="A879" s="15">
        <v>46101</v>
      </c>
      <c r="B879" t="s">
        <v>430</v>
      </c>
      <c r="C879" t="s">
        <v>319</v>
      </c>
      <c r="D879" t="s">
        <v>176</v>
      </c>
      <c r="E879" t="s">
        <v>331</v>
      </c>
      <c r="F879" t="s">
        <v>332</v>
      </c>
      <c r="G879" t="s">
        <v>322</v>
      </c>
      <c r="H879" t="s">
        <v>321</v>
      </c>
      <c r="I879" t="s">
        <v>426</v>
      </c>
      <c r="J879" t="s">
        <v>171</v>
      </c>
      <c r="K879" t="s">
        <v>45</v>
      </c>
      <c r="L879">
        <v>27450</v>
      </c>
      <c r="M879">
        <v>108</v>
      </c>
      <c r="N879">
        <v>30</v>
      </c>
      <c r="O879">
        <v>16038.647999999999</v>
      </c>
      <c r="P879">
        <v>280</v>
      </c>
      <c r="Q879">
        <v>20</v>
      </c>
      <c r="R879">
        <v>15</v>
      </c>
      <c r="S879" t="s">
        <v>116</v>
      </c>
      <c r="T879">
        <v>23</v>
      </c>
      <c r="U879">
        <v>12</v>
      </c>
      <c r="V879">
        <v>16</v>
      </c>
      <c r="W879">
        <v>0</v>
      </c>
      <c r="X879">
        <v>0</v>
      </c>
      <c r="Y879" s="20">
        <f>SUM(Table1[[#This Row],[dty_type_cnt1]:[dty_type_cnt5]])</f>
        <v>51</v>
      </c>
    </row>
    <row r="880" spans="1:25" x14ac:dyDescent="0.25">
      <c r="A880" s="15">
        <v>46101</v>
      </c>
      <c r="B880" t="s">
        <v>430</v>
      </c>
      <c r="C880" t="s">
        <v>319</v>
      </c>
      <c r="D880" t="s">
        <v>176</v>
      </c>
      <c r="E880" t="s">
        <v>333</v>
      </c>
      <c r="F880" t="s">
        <v>334</v>
      </c>
      <c r="G880" t="s">
        <v>322</v>
      </c>
      <c r="H880" t="s">
        <v>321</v>
      </c>
      <c r="I880" t="s">
        <v>426</v>
      </c>
      <c r="J880" t="s">
        <v>171</v>
      </c>
      <c r="K880" t="s">
        <v>45</v>
      </c>
      <c r="L880">
        <v>27450</v>
      </c>
      <c r="M880">
        <v>82</v>
      </c>
      <c r="N880">
        <v>26</v>
      </c>
      <c r="O880">
        <v>10790.758</v>
      </c>
      <c r="P880">
        <v>404.84</v>
      </c>
      <c r="Q880">
        <v>30</v>
      </c>
      <c r="R880">
        <v>11</v>
      </c>
      <c r="S880" t="s">
        <v>116</v>
      </c>
      <c r="T880">
        <v>16</v>
      </c>
      <c r="U880">
        <v>9</v>
      </c>
      <c r="V880">
        <v>12</v>
      </c>
      <c r="W880">
        <v>0</v>
      </c>
      <c r="X880">
        <v>0</v>
      </c>
      <c r="Y880" s="20">
        <f>SUM(Table1[[#This Row],[dty_type_cnt1]:[dty_type_cnt5]])</f>
        <v>37</v>
      </c>
    </row>
    <row r="881" spans="1:25" x14ac:dyDescent="0.25">
      <c r="A881" s="15">
        <v>46101</v>
      </c>
      <c r="B881" t="s">
        <v>430</v>
      </c>
      <c r="C881" t="s">
        <v>319</v>
      </c>
      <c r="D881" t="s">
        <v>46</v>
      </c>
      <c r="E881" t="s">
        <v>335</v>
      </c>
      <c r="F881" t="s">
        <v>336</v>
      </c>
      <c r="G881" t="s">
        <v>322</v>
      </c>
      <c r="H881" t="s">
        <v>321</v>
      </c>
      <c r="I881" t="s">
        <v>426</v>
      </c>
      <c r="J881" t="s">
        <v>171</v>
      </c>
      <c r="K881" t="s">
        <v>45</v>
      </c>
      <c r="L881">
        <v>27450</v>
      </c>
      <c r="M881">
        <v>32</v>
      </c>
      <c r="N881">
        <v>12</v>
      </c>
      <c r="O881">
        <v>5382.8320000000003</v>
      </c>
      <c r="P881">
        <v>83.6</v>
      </c>
      <c r="Q881">
        <v>60</v>
      </c>
      <c r="R881">
        <v>6</v>
      </c>
      <c r="S881" t="s">
        <v>116</v>
      </c>
      <c r="T881">
        <v>6</v>
      </c>
      <c r="U881">
        <v>6</v>
      </c>
      <c r="V881">
        <v>4</v>
      </c>
      <c r="W881">
        <v>0</v>
      </c>
      <c r="X881">
        <v>0</v>
      </c>
      <c r="Y881" s="20">
        <f>SUM(Table1[[#This Row],[dty_type_cnt1]:[dty_type_cnt5]])</f>
        <v>16</v>
      </c>
    </row>
    <row r="882" spans="1:25" x14ac:dyDescent="0.25">
      <c r="A882" s="15">
        <v>46101</v>
      </c>
      <c r="B882" t="s">
        <v>430</v>
      </c>
      <c r="C882" t="s">
        <v>319</v>
      </c>
      <c r="D882" t="s">
        <v>176</v>
      </c>
      <c r="E882" t="s">
        <v>337</v>
      </c>
      <c r="F882" t="s">
        <v>338</v>
      </c>
      <c r="G882" t="s">
        <v>322</v>
      </c>
      <c r="H882" t="s">
        <v>321</v>
      </c>
      <c r="I882" t="s">
        <v>426</v>
      </c>
      <c r="J882" t="s">
        <v>171</v>
      </c>
      <c r="K882" t="s">
        <v>45</v>
      </c>
      <c r="L882">
        <v>27450</v>
      </c>
      <c r="M882">
        <v>48</v>
      </c>
      <c r="N882">
        <v>16</v>
      </c>
      <c r="O882">
        <v>6679.2</v>
      </c>
      <c r="P882">
        <v>280</v>
      </c>
      <c r="Q882">
        <v>40</v>
      </c>
      <c r="R882">
        <v>8</v>
      </c>
      <c r="S882" t="s">
        <v>116</v>
      </c>
      <c r="T882">
        <v>8</v>
      </c>
      <c r="U882">
        <v>7</v>
      </c>
      <c r="V882">
        <v>9</v>
      </c>
      <c r="W882">
        <v>0</v>
      </c>
      <c r="X882">
        <v>0</v>
      </c>
      <c r="Y882" s="20">
        <f>SUM(Table1[[#This Row],[dty_type_cnt1]:[dty_type_cnt5]])</f>
        <v>24</v>
      </c>
    </row>
    <row r="883" spans="1:25" x14ac:dyDescent="0.25">
      <c r="A883" s="15">
        <v>46101</v>
      </c>
      <c r="B883" t="s">
        <v>430</v>
      </c>
      <c r="C883" t="s">
        <v>319</v>
      </c>
      <c r="D883" t="s">
        <v>176</v>
      </c>
      <c r="E883" t="s">
        <v>339</v>
      </c>
      <c r="F883" t="s">
        <v>340</v>
      </c>
      <c r="G883" t="s">
        <v>322</v>
      </c>
      <c r="H883" t="s">
        <v>321</v>
      </c>
      <c r="I883" t="s">
        <v>426</v>
      </c>
      <c r="J883" t="s">
        <v>76</v>
      </c>
      <c r="K883" t="s">
        <v>45</v>
      </c>
      <c r="L883">
        <v>27450</v>
      </c>
      <c r="M883">
        <v>153</v>
      </c>
      <c r="N883">
        <v>26</v>
      </c>
      <c r="O883">
        <v>2542.4749999999999</v>
      </c>
      <c r="P883">
        <v>248.8</v>
      </c>
      <c r="Q883">
        <v>10</v>
      </c>
      <c r="R883">
        <v>13</v>
      </c>
      <c r="S883" t="s">
        <v>116</v>
      </c>
      <c r="T883">
        <v>9</v>
      </c>
      <c r="U883">
        <v>10</v>
      </c>
      <c r="V883">
        <v>6</v>
      </c>
      <c r="W883">
        <v>0</v>
      </c>
      <c r="X883">
        <v>0</v>
      </c>
      <c r="Y883" s="20">
        <f>SUM(Table1[[#This Row],[dty_type_cnt1]:[dty_type_cnt5]])</f>
        <v>25</v>
      </c>
    </row>
    <row r="884" spans="1:25" x14ac:dyDescent="0.25">
      <c r="A884" s="15">
        <v>46101</v>
      </c>
      <c r="B884" t="s">
        <v>430</v>
      </c>
      <c r="C884" t="s">
        <v>319</v>
      </c>
      <c r="D884" t="s">
        <v>176</v>
      </c>
      <c r="E884" t="s">
        <v>341</v>
      </c>
      <c r="F884" t="s">
        <v>342</v>
      </c>
      <c r="G884" t="s">
        <v>322</v>
      </c>
      <c r="H884" t="s">
        <v>321</v>
      </c>
      <c r="I884" t="s">
        <v>426</v>
      </c>
      <c r="J884" t="s">
        <v>76</v>
      </c>
      <c r="K884" t="s">
        <v>45</v>
      </c>
      <c r="L884">
        <v>27450</v>
      </c>
      <c r="M884">
        <v>64</v>
      </c>
      <c r="N884">
        <v>12</v>
      </c>
      <c r="O884">
        <v>1300.7329999999999</v>
      </c>
      <c r="P884">
        <v>114.6</v>
      </c>
      <c r="Q884">
        <v>25</v>
      </c>
      <c r="R884">
        <v>6</v>
      </c>
      <c r="S884" t="s">
        <v>116</v>
      </c>
      <c r="T884">
        <v>5</v>
      </c>
      <c r="U884">
        <v>5</v>
      </c>
      <c r="V884">
        <v>0</v>
      </c>
      <c r="W884">
        <v>0</v>
      </c>
      <c r="X884">
        <v>0</v>
      </c>
      <c r="Y884" s="20">
        <f>SUM(Table1[[#This Row],[dty_type_cnt1]:[dty_type_cnt5]])</f>
        <v>10</v>
      </c>
    </row>
    <row r="885" spans="1:25" x14ac:dyDescent="0.25">
      <c r="A885" s="15">
        <v>46101</v>
      </c>
      <c r="B885" t="s">
        <v>430</v>
      </c>
      <c r="C885" t="s">
        <v>319</v>
      </c>
      <c r="D885" t="s">
        <v>176</v>
      </c>
      <c r="E885" t="s">
        <v>343</v>
      </c>
      <c r="F885" t="s">
        <v>344</v>
      </c>
      <c r="G885" t="s">
        <v>322</v>
      </c>
      <c r="H885" t="s">
        <v>321</v>
      </c>
      <c r="I885" t="s">
        <v>426</v>
      </c>
      <c r="J885" t="s">
        <v>76</v>
      </c>
      <c r="K885" t="s">
        <v>45</v>
      </c>
      <c r="L885">
        <v>27450</v>
      </c>
      <c r="M885">
        <v>107</v>
      </c>
      <c r="N885">
        <v>12</v>
      </c>
      <c r="O885">
        <v>1540.0150000000001</v>
      </c>
      <c r="P885">
        <v>114.4</v>
      </c>
      <c r="Q885">
        <v>15</v>
      </c>
      <c r="R885">
        <v>6</v>
      </c>
      <c r="S885" t="s">
        <v>116</v>
      </c>
      <c r="T885">
        <v>4</v>
      </c>
      <c r="U885">
        <v>5</v>
      </c>
      <c r="V885">
        <v>1</v>
      </c>
      <c r="W885">
        <v>0</v>
      </c>
      <c r="X885">
        <v>0</v>
      </c>
      <c r="Y885" s="20">
        <f>SUM(Table1[[#This Row],[dty_type_cnt1]:[dty_type_cnt5]])</f>
        <v>10</v>
      </c>
    </row>
    <row r="886" spans="1:25" x14ac:dyDescent="0.25">
      <c r="A886" s="15">
        <v>46101</v>
      </c>
      <c r="B886" t="s">
        <v>430</v>
      </c>
      <c r="C886" t="s">
        <v>319</v>
      </c>
      <c r="D886" t="s">
        <v>176</v>
      </c>
      <c r="E886" t="s">
        <v>345</v>
      </c>
      <c r="F886" t="s">
        <v>346</v>
      </c>
      <c r="G886" t="s">
        <v>322</v>
      </c>
      <c r="H886" t="s">
        <v>321</v>
      </c>
      <c r="I886" t="s">
        <v>426</v>
      </c>
      <c r="J886" t="s">
        <v>76</v>
      </c>
      <c r="K886" t="s">
        <v>45</v>
      </c>
      <c r="L886">
        <v>27450</v>
      </c>
      <c r="M886">
        <v>30</v>
      </c>
      <c r="N886">
        <v>6</v>
      </c>
      <c r="O886">
        <v>451.36200000000002</v>
      </c>
      <c r="P886">
        <v>47.3</v>
      </c>
      <c r="Q886">
        <v>40</v>
      </c>
      <c r="R886">
        <v>3</v>
      </c>
      <c r="S886" t="s">
        <v>116</v>
      </c>
      <c r="T886">
        <v>2</v>
      </c>
      <c r="U886">
        <v>1</v>
      </c>
      <c r="V886">
        <v>2</v>
      </c>
      <c r="W886">
        <v>0</v>
      </c>
      <c r="X886">
        <v>0</v>
      </c>
      <c r="Y886" s="20">
        <f>SUM(Table1[[#This Row],[dty_type_cnt1]:[dty_type_cnt5]])</f>
        <v>5</v>
      </c>
    </row>
    <row r="887" spans="1:25" x14ac:dyDescent="0.25">
      <c r="A887" s="15">
        <v>46101</v>
      </c>
      <c r="B887" t="s">
        <v>430</v>
      </c>
      <c r="C887" t="s">
        <v>319</v>
      </c>
      <c r="D887" t="s">
        <v>176</v>
      </c>
      <c r="E887" t="s">
        <v>347</v>
      </c>
      <c r="F887" t="s">
        <v>348</v>
      </c>
      <c r="G887" t="s">
        <v>322</v>
      </c>
      <c r="H887" t="s">
        <v>321</v>
      </c>
      <c r="I887" t="s">
        <v>426</v>
      </c>
      <c r="J887" t="s">
        <v>76</v>
      </c>
      <c r="K887" t="s">
        <v>45</v>
      </c>
      <c r="L887">
        <v>27450</v>
      </c>
      <c r="M887">
        <v>30</v>
      </c>
      <c r="N887">
        <v>4</v>
      </c>
      <c r="O887">
        <v>327.49</v>
      </c>
      <c r="P887">
        <v>28</v>
      </c>
      <c r="Q887">
        <v>30</v>
      </c>
      <c r="R887">
        <v>2</v>
      </c>
      <c r="S887" t="s">
        <v>116</v>
      </c>
      <c r="T887">
        <v>1</v>
      </c>
      <c r="U887">
        <v>2</v>
      </c>
      <c r="V887">
        <v>0</v>
      </c>
      <c r="W887">
        <v>0</v>
      </c>
      <c r="X887">
        <v>0</v>
      </c>
      <c r="Y887" s="20">
        <f>SUM(Table1[[#This Row],[dty_type_cnt1]:[dty_type_cnt5]])</f>
        <v>3</v>
      </c>
    </row>
    <row r="888" spans="1:25" x14ac:dyDescent="0.25">
      <c r="A888" s="15">
        <v>46101</v>
      </c>
      <c r="B888" t="s">
        <v>430</v>
      </c>
      <c r="C888" t="s">
        <v>319</v>
      </c>
      <c r="D888" t="s">
        <v>262</v>
      </c>
      <c r="E888" t="s">
        <v>427</v>
      </c>
      <c r="F888" t="s">
        <v>428</v>
      </c>
      <c r="G888" t="s">
        <v>322</v>
      </c>
      <c r="H888" t="s">
        <v>321</v>
      </c>
      <c r="I888" t="s">
        <v>426</v>
      </c>
      <c r="J888" t="s">
        <v>76</v>
      </c>
      <c r="K888" t="s">
        <v>45</v>
      </c>
      <c r="L888">
        <v>27450</v>
      </c>
      <c r="M888">
        <v>101</v>
      </c>
      <c r="N888">
        <v>10</v>
      </c>
      <c r="O888">
        <v>699.13800000000003</v>
      </c>
      <c r="P888">
        <v>72</v>
      </c>
      <c r="Q888">
        <v>20</v>
      </c>
      <c r="R888">
        <v>4</v>
      </c>
      <c r="S888" t="s">
        <v>116</v>
      </c>
      <c r="T888">
        <v>5</v>
      </c>
      <c r="U888">
        <v>3</v>
      </c>
      <c r="V888">
        <v>3</v>
      </c>
      <c r="W888">
        <v>0</v>
      </c>
      <c r="X888">
        <v>0</v>
      </c>
      <c r="Y888" s="20">
        <f>SUM(Table1[[#This Row],[dty_type_cnt1]:[dty_type_cnt5]])</f>
        <v>11</v>
      </c>
    </row>
    <row r="889" spans="1:25" x14ac:dyDescent="0.25">
      <c r="A889" s="15">
        <v>46101</v>
      </c>
      <c r="B889" t="s">
        <v>430</v>
      </c>
      <c r="C889" t="s">
        <v>319</v>
      </c>
      <c r="D889" t="s">
        <v>176</v>
      </c>
      <c r="E889" t="s">
        <v>349</v>
      </c>
      <c r="F889" t="s">
        <v>350</v>
      </c>
      <c r="G889" t="s">
        <v>322</v>
      </c>
      <c r="H889" t="s">
        <v>321</v>
      </c>
      <c r="I889" t="s">
        <v>426</v>
      </c>
      <c r="J889" t="s">
        <v>171</v>
      </c>
      <c r="K889" t="s">
        <v>45</v>
      </c>
      <c r="L889">
        <v>27450</v>
      </c>
      <c r="M889">
        <v>54</v>
      </c>
      <c r="N889">
        <v>6</v>
      </c>
      <c r="O889">
        <v>525.36599999999999</v>
      </c>
      <c r="P889">
        <v>49.6</v>
      </c>
      <c r="Q889">
        <v>30</v>
      </c>
      <c r="R889">
        <v>3</v>
      </c>
      <c r="S889" t="s">
        <v>116</v>
      </c>
      <c r="T889">
        <v>3</v>
      </c>
      <c r="U889">
        <v>2</v>
      </c>
      <c r="V889">
        <v>1</v>
      </c>
      <c r="W889">
        <v>0</v>
      </c>
      <c r="X889">
        <v>0</v>
      </c>
      <c r="Y889" s="20">
        <f>SUM(Table1[[#This Row],[dty_type_cnt1]:[dty_type_cnt5]])</f>
        <v>6</v>
      </c>
    </row>
    <row r="890" spans="1:25" x14ac:dyDescent="0.25">
      <c r="A890" s="15">
        <v>46101</v>
      </c>
      <c r="B890" t="s">
        <v>430</v>
      </c>
      <c r="C890" t="s">
        <v>319</v>
      </c>
      <c r="D890" t="s">
        <v>176</v>
      </c>
      <c r="E890" t="s">
        <v>351</v>
      </c>
      <c r="F890" t="s">
        <v>352</v>
      </c>
      <c r="G890" t="s">
        <v>322</v>
      </c>
      <c r="H890" t="s">
        <v>321</v>
      </c>
      <c r="I890" t="s">
        <v>426</v>
      </c>
      <c r="J890" t="s">
        <v>76</v>
      </c>
      <c r="K890" t="s">
        <v>45</v>
      </c>
      <c r="L890">
        <v>27450</v>
      </c>
      <c r="M890">
        <v>71</v>
      </c>
      <c r="N890">
        <v>18</v>
      </c>
      <c r="O890">
        <v>2357.4389999999999</v>
      </c>
      <c r="P890">
        <v>222.7</v>
      </c>
      <c r="Q890">
        <v>20</v>
      </c>
      <c r="R890">
        <v>9</v>
      </c>
      <c r="S890" t="s">
        <v>116</v>
      </c>
      <c r="T890">
        <v>6</v>
      </c>
      <c r="U890">
        <v>5</v>
      </c>
      <c r="V890">
        <v>5</v>
      </c>
      <c r="W890">
        <v>0</v>
      </c>
      <c r="X890">
        <v>0</v>
      </c>
      <c r="Y890" s="20">
        <f>SUM(Table1[[#This Row],[dty_type_cnt1]:[dty_type_cnt5]])</f>
        <v>16</v>
      </c>
    </row>
    <row r="891" spans="1:25" x14ac:dyDescent="0.25">
      <c r="A891" s="15">
        <v>46101</v>
      </c>
      <c r="B891" t="s">
        <v>430</v>
      </c>
      <c r="C891" t="s">
        <v>319</v>
      </c>
      <c r="D891" t="s">
        <v>176</v>
      </c>
      <c r="E891" t="s">
        <v>353</v>
      </c>
      <c r="F891" t="s">
        <v>354</v>
      </c>
      <c r="G891" t="s">
        <v>322</v>
      </c>
      <c r="H891" t="s">
        <v>321</v>
      </c>
      <c r="I891" t="s">
        <v>426</v>
      </c>
      <c r="J891" t="s">
        <v>171</v>
      </c>
      <c r="K891" t="s">
        <v>45</v>
      </c>
      <c r="L891">
        <v>27450</v>
      </c>
      <c r="M891">
        <v>26</v>
      </c>
      <c r="N891">
        <v>6</v>
      </c>
      <c r="O891">
        <v>704.28800000000001</v>
      </c>
      <c r="P891">
        <v>66.599999999999994</v>
      </c>
      <c r="Q891">
        <v>60</v>
      </c>
      <c r="R891">
        <v>3</v>
      </c>
      <c r="S891" t="s">
        <v>116</v>
      </c>
      <c r="T891">
        <v>2</v>
      </c>
      <c r="U891">
        <v>2</v>
      </c>
      <c r="V891">
        <v>1</v>
      </c>
      <c r="W891">
        <v>0</v>
      </c>
      <c r="X891">
        <v>0</v>
      </c>
      <c r="Y891" s="20">
        <f>SUM(Table1[[#This Row],[dty_type_cnt1]:[dty_type_cnt5]])</f>
        <v>5</v>
      </c>
    </row>
    <row r="892" spans="1:25" x14ac:dyDescent="0.25">
      <c r="A892" s="15">
        <v>46101</v>
      </c>
      <c r="B892" t="s">
        <v>430</v>
      </c>
      <c r="C892" t="s">
        <v>319</v>
      </c>
      <c r="D892" t="s">
        <v>176</v>
      </c>
      <c r="E892" t="s">
        <v>355</v>
      </c>
      <c r="F892" t="s">
        <v>356</v>
      </c>
      <c r="G892" t="s">
        <v>322</v>
      </c>
      <c r="H892" t="s">
        <v>321</v>
      </c>
      <c r="I892" t="s">
        <v>426</v>
      </c>
      <c r="J892" t="s">
        <v>171</v>
      </c>
      <c r="K892" t="s">
        <v>45</v>
      </c>
      <c r="L892">
        <v>27450</v>
      </c>
      <c r="M892">
        <v>20</v>
      </c>
      <c r="N892">
        <v>6</v>
      </c>
      <c r="O892">
        <v>2410.69</v>
      </c>
      <c r="P892">
        <v>0.6</v>
      </c>
      <c r="Q892">
        <v>100</v>
      </c>
      <c r="R892">
        <v>3</v>
      </c>
      <c r="S892" t="s">
        <v>116</v>
      </c>
      <c r="T892">
        <v>3</v>
      </c>
      <c r="U892">
        <v>3</v>
      </c>
      <c r="V892">
        <v>0</v>
      </c>
      <c r="W892">
        <v>0</v>
      </c>
      <c r="X892">
        <v>0</v>
      </c>
      <c r="Y892" s="20">
        <f>SUM(Table1[[#This Row],[dty_type_cnt1]:[dty_type_cnt5]])</f>
        <v>6</v>
      </c>
    </row>
    <row r="893" spans="1:25" x14ac:dyDescent="0.25">
      <c r="A893" s="15">
        <v>46101</v>
      </c>
      <c r="B893" t="s">
        <v>430</v>
      </c>
      <c r="C893" t="s">
        <v>319</v>
      </c>
      <c r="D893" t="s">
        <v>54</v>
      </c>
      <c r="E893" t="s">
        <v>92</v>
      </c>
      <c r="F893" t="s">
        <v>357</v>
      </c>
      <c r="G893" t="s">
        <v>322</v>
      </c>
      <c r="H893" t="s">
        <v>321</v>
      </c>
      <c r="I893" t="s">
        <v>426</v>
      </c>
      <c r="J893" t="s">
        <v>76</v>
      </c>
      <c r="K893" t="s">
        <v>45</v>
      </c>
      <c r="L893">
        <v>27450</v>
      </c>
      <c r="M893">
        <v>101</v>
      </c>
      <c r="N893">
        <v>8</v>
      </c>
      <c r="O893">
        <v>418.01600000000002</v>
      </c>
      <c r="P893">
        <v>30.7</v>
      </c>
      <c r="Q893">
        <v>12</v>
      </c>
      <c r="R893">
        <v>4</v>
      </c>
      <c r="S893" t="s">
        <v>116</v>
      </c>
      <c r="T893">
        <v>2</v>
      </c>
      <c r="U893">
        <v>4</v>
      </c>
      <c r="V893">
        <v>0</v>
      </c>
      <c r="W893">
        <v>0</v>
      </c>
      <c r="X893">
        <v>0</v>
      </c>
      <c r="Y893" s="20">
        <f>SUM(Table1[[#This Row],[dty_type_cnt1]:[dty_type_cnt5]])</f>
        <v>6</v>
      </c>
    </row>
    <row r="894" spans="1:25" x14ac:dyDescent="0.25">
      <c r="A894" s="15">
        <v>46101</v>
      </c>
      <c r="B894" t="s">
        <v>430</v>
      </c>
      <c r="C894" t="s">
        <v>319</v>
      </c>
      <c r="D894" t="s">
        <v>262</v>
      </c>
      <c r="E894" t="s">
        <v>359</v>
      </c>
      <c r="F894" t="s">
        <v>336</v>
      </c>
      <c r="G894" t="s">
        <v>322</v>
      </c>
      <c r="H894" t="s">
        <v>321</v>
      </c>
      <c r="I894" t="s">
        <v>426</v>
      </c>
      <c r="J894" t="s">
        <v>171</v>
      </c>
      <c r="K894" t="s">
        <v>45</v>
      </c>
      <c r="L894">
        <v>27450</v>
      </c>
      <c r="M894">
        <v>32</v>
      </c>
      <c r="N894">
        <v>10</v>
      </c>
      <c r="O894">
        <v>4336.4639999999999</v>
      </c>
      <c r="P894">
        <v>62.8</v>
      </c>
      <c r="Q894">
        <v>60</v>
      </c>
      <c r="R894">
        <v>5</v>
      </c>
      <c r="S894" t="s">
        <v>116</v>
      </c>
      <c r="T894">
        <v>6</v>
      </c>
      <c r="U894">
        <v>4</v>
      </c>
      <c r="V894">
        <v>6</v>
      </c>
      <c r="W894">
        <v>0</v>
      </c>
      <c r="X894">
        <v>0</v>
      </c>
      <c r="Y894" s="20">
        <f>SUM(Table1[[#This Row],[dty_type_cnt1]:[dty_type_cnt5]])</f>
        <v>16</v>
      </c>
    </row>
    <row r="895" spans="1:25" x14ac:dyDescent="0.25">
      <c r="A895" s="15">
        <v>46101</v>
      </c>
      <c r="B895" t="s">
        <v>430</v>
      </c>
      <c r="C895" t="s">
        <v>319</v>
      </c>
      <c r="D895" t="s">
        <v>406</v>
      </c>
      <c r="E895" t="s">
        <v>360</v>
      </c>
      <c r="F895" t="s">
        <v>361</v>
      </c>
      <c r="G895" t="s">
        <v>322</v>
      </c>
      <c r="H895" t="s">
        <v>321</v>
      </c>
      <c r="I895" t="s">
        <v>426</v>
      </c>
      <c r="J895" t="s">
        <v>171</v>
      </c>
      <c r="K895" t="s">
        <v>45</v>
      </c>
      <c r="L895">
        <v>27450</v>
      </c>
      <c r="M895">
        <v>14</v>
      </c>
      <c r="N895">
        <v>6</v>
      </c>
      <c r="O895">
        <v>1876.546</v>
      </c>
      <c r="P895">
        <v>130.80000000000001</v>
      </c>
      <c r="Q895">
        <v>120</v>
      </c>
      <c r="R895">
        <v>3</v>
      </c>
      <c r="S895" t="s">
        <v>116</v>
      </c>
      <c r="T895">
        <v>3</v>
      </c>
      <c r="U895">
        <v>2</v>
      </c>
      <c r="V895">
        <v>2</v>
      </c>
      <c r="W895">
        <v>0</v>
      </c>
      <c r="X895">
        <v>0</v>
      </c>
      <c r="Y895" s="20">
        <f>SUM(Table1[[#This Row],[dty_type_cnt1]:[dty_type_cnt5]])</f>
        <v>7</v>
      </c>
    </row>
    <row r="896" spans="1:25" x14ac:dyDescent="0.25">
      <c r="A896" s="15">
        <v>46101</v>
      </c>
      <c r="B896" t="s">
        <v>430</v>
      </c>
      <c r="C896" t="s">
        <v>319</v>
      </c>
      <c r="D896" t="s">
        <v>362</v>
      </c>
      <c r="E896" t="s">
        <v>363</v>
      </c>
      <c r="F896" t="s">
        <v>364</v>
      </c>
      <c r="G896" t="s">
        <v>322</v>
      </c>
      <c r="H896" t="s">
        <v>321</v>
      </c>
      <c r="I896" t="s">
        <v>426</v>
      </c>
      <c r="J896" t="s">
        <v>63</v>
      </c>
      <c r="K896" t="s">
        <v>45</v>
      </c>
      <c r="L896">
        <v>27450</v>
      </c>
      <c r="M896">
        <v>50</v>
      </c>
      <c r="N896">
        <v>6</v>
      </c>
      <c r="O896">
        <v>508.125</v>
      </c>
      <c r="P896">
        <v>14.2</v>
      </c>
      <c r="Q896">
        <v>30</v>
      </c>
      <c r="R896">
        <v>2</v>
      </c>
      <c r="S896" t="s">
        <v>116</v>
      </c>
      <c r="T896">
        <v>2</v>
      </c>
      <c r="U896">
        <v>2</v>
      </c>
      <c r="V896">
        <v>0</v>
      </c>
      <c r="W896">
        <v>0</v>
      </c>
      <c r="X896">
        <v>0</v>
      </c>
      <c r="Y896" s="20">
        <f>SUM(Table1[[#This Row],[dty_type_cnt1]:[dty_type_cnt5]])</f>
        <v>4</v>
      </c>
    </row>
    <row r="897" spans="1:25" x14ac:dyDescent="0.25">
      <c r="A897" s="15">
        <v>46101</v>
      </c>
      <c r="B897" t="s">
        <v>430</v>
      </c>
      <c r="C897" t="s">
        <v>319</v>
      </c>
      <c r="D897" t="s">
        <v>406</v>
      </c>
      <c r="E897" t="s">
        <v>365</v>
      </c>
      <c r="F897" t="s">
        <v>366</v>
      </c>
      <c r="G897" t="s">
        <v>322</v>
      </c>
      <c r="H897" t="s">
        <v>321</v>
      </c>
      <c r="I897" t="s">
        <v>426</v>
      </c>
      <c r="J897" t="s">
        <v>63</v>
      </c>
      <c r="K897" t="s">
        <v>45</v>
      </c>
      <c r="L897">
        <v>27450</v>
      </c>
      <c r="M897">
        <v>29</v>
      </c>
      <c r="N897">
        <v>32</v>
      </c>
      <c r="O897">
        <v>836.96900000000005</v>
      </c>
      <c r="P897">
        <v>3.278</v>
      </c>
      <c r="Q897">
        <v>30</v>
      </c>
      <c r="R897">
        <v>3</v>
      </c>
      <c r="S897" t="s">
        <v>116</v>
      </c>
      <c r="T897">
        <v>3</v>
      </c>
      <c r="U897">
        <v>3</v>
      </c>
      <c r="V897">
        <v>0</v>
      </c>
      <c r="W897">
        <v>0</v>
      </c>
      <c r="X897">
        <v>0</v>
      </c>
      <c r="Y897" s="20">
        <f>SUM(Table1[[#This Row],[dty_type_cnt1]:[dty_type_cnt5]])</f>
        <v>6</v>
      </c>
    </row>
    <row r="898" spans="1:25" x14ac:dyDescent="0.25">
      <c r="A898" s="15">
        <v>46101</v>
      </c>
      <c r="B898" t="s">
        <v>430</v>
      </c>
      <c r="C898" t="s">
        <v>319</v>
      </c>
      <c r="D898" t="s">
        <v>101</v>
      </c>
      <c r="E898" t="s">
        <v>102</v>
      </c>
      <c r="F898" t="s">
        <v>103</v>
      </c>
      <c r="G898" t="s">
        <v>322</v>
      </c>
      <c r="H898" t="s">
        <v>321</v>
      </c>
      <c r="I898" t="s">
        <v>426</v>
      </c>
      <c r="J898" t="s">
        <v>171</v>
      </c>
      <c r="K898" t="s">
        <v>45</v>
      </c>
      <c r="L898">
        <v>27450</v>
      </c>
      <c r="M898">
        <v>16</v>
      </c>
      <c r="N898">
        <v>6</v>
      </c>
      <c r="O898">
        <v>523.54399999999998</v>
      </c>
      <c r="P898">
        <v>45.3</v>
      </c>
      <c r="Q898">
        <v>60</v>
      </c>
      <c r="R898">
        <v>3</v>
      </c>
      <c r="S898" t="s">
        <v>116</v>
      </c>
      <c r="T898">
        <v>0</v>
      </c>
      <c r="U898">
        <v>0</v>
      </c>
      <c r="V898">
        <v>3</v>
      </c>
      <c r="W898">
        <v>0</v>
      </c>
      <c r="X898">
        <v>0</v>
      </c>
      <c r="Y898" s="20">
        <f>SUM(Table1[[#This Row],[dty_type_cnt1]:[dty_type_cnt5]])</f>
        <v>3</v>
      </c>
    </row>
    <row r="899" spans="1:25" x14ac:dyDescent="0.25">
      <c r="A899" s="15">
        <v>46101</v>
      </c>
      <c r="B899" t="s">
        <v>430</v>
      </c>
      <c r="C899" t="s">
        <v>319</v>
      </c>
      <c r="D899" t="s">
        <v>262</v>
      </c>
      <c r="E899" t="s">
        <v>367</v>
      </c>
      <c r="F899" t="s">
        <v>368</v>
      </c>
      <c r="G899" t="s">
        <v>322</v>
      </c>
      <c r="H899" t="s">
        <v>321</v>
      </c>
      <c r="I899" t="s">
        <v>426</v>
      </c>
      <c r="J899" t="s">
        <v>171</v>
      </c>
      <c r="K899" t="s">
        <v>45</v>
      </c>
      <c r="L899">
        <v>27450</v>
      </c>
      <c r="M899">
        <v>22</v>
      </c>
      <c r="N899">
        <v>10</v>
      </c>
      <c r="O899">
        <v>795.52</v>
      </c>
      <c r="P899">
        <v>215</v>
      </c>
      <c r="Q899">
        <v>60</v>
      </c>
      <c r="R899">
        <v>5</v>
      </c>
      <c r="S899" t="s">
        <v>116</v>
      </c>
      <c r="T899">
        <v>5</v>
      </c>
      <c r="U899">
        <v>3</v>
      </c>
      <c r="V899">
        <v>2</v>
      </c>
      <c r="W899">
        <v>0</v>
      </c>
      <c r="X899">
        <v>0</v>
      </c>
      <c r="Y899" s="20">
        <f>SUM(Table1[[#This Row],[dty_type_cnt1]:[dty_type_cnt5]])</f>
        <v>10</v>
      </c>
    </row>
    <row r="900" spans="1:25" x14ac:dyDescent="0.25">
      <c r="A900" s="15">
        <v>46101</v>
      </c>
      <c r="B900" t="s">
        <v>430</v>
      </c>
      <c r="C900" t="s">
        <v>319</v>
      </c>
      <c r="D900" t="s">
        <v>262</v>
      </c>
      <c r="E900" t="s">
        <v>370</v>
      </c>
      <c r="F900" t="s">
        <v>371</v>
      </c>
      <c r="G900" t="s">
        <v>322</v>
      </c>
      <c r="H900" t="s">
        <v>321</v>
      </c>
      <c r="I900" t="s">
        <v>426</v>
      </c>
      <c r="J900" t="s">
        <v>63</v>
      </c>
      <c r="K900" t="s">
        <v>45</v>
      </c>
      <c r="L900">
        <v>27450</v>
      </c>
      <c r="M900">
        <v>35</v>
      </c>
      <c r="N900">
        <v>4</v>
      </c>
      <c r="O900">
        <v>287.226</v>
      </c>
      <c r="P900">
        <v>20.9</v>
      </c>
      <c r="Q900">
        <v>30</v>
      </c>
      <c r="R900">
        <v>2</v>
      </c>
      <c r="S900" t="s">
        <v>116</v>
      </c>
      <c r="T900">
        <v>0</v>
      </c>
      <c r="U900">
        <v>2</v>
      </c>
      <c r="V900">
        <v>0</v>
      </c>
      <c r="W900">
        <v>0</v>
      </c>
      <c r="X900">
        <v>0</v>
      </c>
      <c r="Y900" s="20">
        <f>SUM(Table1[[#This Row],[dty_type_cnt1]:[dty_type_cnt5]])</f>
        <v>2</v>
      </c>
    </row>
    <row r="901" spans="1:25" x14ac:dyDescent="0.25">
      <c r="A901" s="15">
        <v>46101</v>
      </c>
      <c r="B901" t="s">
        <v>430</v>
      </c>
      <c r="C901" t="s">
        <v>372</v>
      </c>
      <c r="D901" t="s">
        <v>46</v>
      </c>
      <c r="E901">
        <v>14</v>
      </c>
      <c r="F901" t="s">
        <v>317</v>
      </c>
      <c r="G901" t="s">
        <v>373</v>
      </c>
      <c r="H901" t="s">
        <v>374</v>
      </c>
      <c r="I901" t="s">
        <v>373</v>
      </c>
      <c r="J901" t="s">
        <v>0</v>
      </c>
      <c r="K901" t="s">
        <v>1</v>
      </c>
      <c r="L901">
        <v>27440</v>
      </c>
      <c r="M901">
        <v>38</v>
      </c>
      <c r="N901">
        <v>10</v>
      </c>
      <c r="O901">
        <v>500.66899999999998</v>
      </c>
      <c r="P901">
        <v>185.4</v>
      </c>
      <c r="Q901">
        <v>20</v>
      </c>
      <c r="R901">
        <v>3</v>
      </c>
      <c r="S901" t="s">
        <v>116</v>
      </c>
      <c r="T901">
        <v>3</v>
      </c>
      <c r="U901">
        <v>3</v>
      </c>
      <c r="V901">
        <v>0</v>
      </c>
      <c r="W901">
        <v>0</v>
      </c>
      <c r="X901">
        <v>0</v>
      </c>
      <c r="Y901" s="20">
        <f>SUM(Table1[[#This Row],[dty_type_cnt1]:[dty_type_cnt5]])</f>
        <v>6</v>
      </c>
    </row>
    <row r="902" spans="1:25" x14ac:dyDescent="0.25">
      <c r="A902" s="15">
        <v>46101</v>
      </c>
      <c r="B902" t="s">
        <v>430</v>
      </c>
      <c r="C902" t="s">
        <v>372</v>
      </c>
      <c r="D902" t="s">
        <v>46</v>
      </c>
      <c r="E902">
        <v>23</v>
      </c>
      <c r="F902" t="s">
        <v>318</v>
      </c>
      <c r="G902" t="s">
        <v>373</v>
      </c>
      <c r="H902" t="s">
        <v>374</v>
      </c>
      <c r="I902" t="s">
        <v>373</v>
      </c>
      <c r="J902" t="s">
        <v>0</v>
      </c>
      <c r="K902" t="s">
        <v>1</v>
      </c>
      <c r="L902">
        <v>27440</v>
      </c>
      <c r="M902">
        <v>7</v>
      </c>
      <c r="N902">
        <v>2</v>
      </c>
      <c r="O902">
        <v>164.58500000000001</v>
      </c>
      <c r="P902">
        <v>46.7</v>
      </c>
      <c r="Q902">
        <v>25</v>
      </c>
      <c r="R902">
        <v>1</v>
      </c>
      <c r="S902" t="s">
        <v>116</v>
      </c>
      <c r="T902">
        <v>1</v>
      </c>
      <c r="U902">
        <v>0</v>
      </c>
      <c r="V902">
        <v>1</v>
      </c>
      <c r="W902">
        <v>0</v>
      </c>
      <c r="X902">
        <v>0</v>
      </c>
      <c r="Y902" s="20">
        <f>SUM(Table1[[#This Row],[dty_type_cnt1]:[dty_type_cnt5]])</f>
        <v>2</v>
      </c>
    </row>
    <row r="903" spans="1:25" x14ac:dyDescent="0.25">
      <c r="A903" s="15">
        <v>46101</v>
      </c>
      <c r="B903" t="s">
        <v>430</v>
      </c>
      <c r="C903" t="s">
        <v>372</v>
      </c>
      <c r="D903" t="s">
        <v>46</v>
      </c>
      <c r="E903">
        <v>26</v>
      </c>
      <c r="F903" t="s">
        <v>375</v>
      </c>
      <c r="G903" t="s">
        <v>373</v>
      </c>
      <c r="H903" t="s">
        <v>374</v>
      </c>
      <c r="I903" t="s">
        <v>373</v>
      </c>
      <c r="J903" t="s">
        <v>0</v>
      </c>
      <c r="K903" t="s">
        <v>1</v>
      </c>
      <c r="L903">
        <v>27440</v>
      </c>
      <c r="M903">
        <v>66</v>
      </c>
      <c r="N903">
        <v>26</v>
      </c>
      <c r="O903">
        <v>1106.021</v>
      </c>
      <c r="P903">
        <v>413.2</v>
      </c>
      <c r="Q903">
        <v>15</v>
      </c>
      <c r="R903">
        <v>6</v>
      </c>
      <c r="S903" t="s">
        <v>116</v>
      </c>
      <c r="T903">
        <v>6</v>
      </c>
      <c r="U903">
        <v>7</v>
      </c>
      <c r="V903">
        <v>0</v>
      </c>
      <c r="W903">
        <v>0</v>
      </c>
      <c r="X903">
        <v>0</v>
      </c>
      <c r="Y903" s="20">
        <f>SUM(Table1[[#This Row],[dty_type_cnt1]:[dty_type_cnt5]])</f>
        <v>13</v>
      </c>
    </row>
    <row r="904" spans="1:25" x14ac:dyDescent="0.25">
      <c r="A904" s="15">
        <v>46101</v>
      </c>
      <c r="B904" t="s">
        <v>430</v>
      </c>
      <c r="C904" t="s">
        <v>372</v>
      </c>
      <c r="D904" t="s">
        <v>46</v>
      </c>
      <c r="E904">
        <v>28</v>
      </c>
      <c r="F904" t="s">
        <v>376</v>
      </c>
      <c r="G904" t="s">
        <v>373</v>
      </c>
      <c r="H904" t="s">
        <v>374</v>
      </c>
      <c r="I904" t="s">
        <v>373</v>
      </c>
      <c r="J904" t="s">
        <v>47</v>
      </c>
      <c r="K904" t="s">
        <v>1</v>
      </c>
      <c r="L904">
        <v>27440</v>
      </c>
      <c r="M904">
        <v>115</v>
      </c>
      <c r="N904">
        <v>22</v>
      </c>
      <c r="O904">
        <v>1599.1210000000001</v>
      </c>
      <c r="P904">
        <v>403.2</v>
      </c>
      <c r="Q904">
        <v>18</v>
      </c>
      <c r="R904">
        <v>9</v>
      </c>
      <c r="S904" t="s">
        <v>116</v>
      </c>
      <c r="T904">
        <v>9</v>
      </c>
      <c r="U904">
        <v>7</v>
      </c>
      <c r="V904">
        <v>4</v>
      </c>
      <c r="W904">
        <v>0</v>
      </c>
      <c r="X904">
        <v>0</v>
      </c>
      <c r="Y904" s="20">
        <f>SUM(Table1[[#This Row],[dty_type_cnt1]:[dty_type_cnt5]])</f>
        <v>20</v>
      </c>
    </row>
    <row r="905" spans="1:25" x14ac:dyDescent="0.25">
      <c r="A905" s="15">
        <v>46101</v>
      </c>
      <c r="B905" t="s">
        <v>430</v>
      </c>
      <c r="C905" t="s">
        <v>372</v>
      </c>
      <c r="D905" t="s">
        <v>46</v>
      </c>
      <c r="E905">
        <v>30</v>
      </c>
      <c r="F905" t="s">
        <v>377</v>
      </c>
      <c r="G905" t="s">
        <v>373</v>
      </c>
      <c r="H905" t="s">
        <v>374</v>
      </c>
      <c r="I905" t="s">
        <v>373</v>
      </c>
      <c r="J905" t="s">
        <v>0</v>
      </c>
      <c r="K905" t="s">
        <v>1</v>
      </c>
      <c r="L905">
        <v>27440</v>
      </c>
      <c r="M905">
        <v>32</v>
      </c>
      <c r="N905">
        <v>14</v>
      </c>
      <c r="O905">
        <v>1873.1690000000001</v>
      </c>
      <c r="P905">
        <v>209.04</v>
      </c>
      <c r="Q905">
        <v>25</v>
      </c>
      <c r="R905">
        <v>4</v>
      </c>
      <c r="S905" t="s">
        <v>116</v>
      </c>
      <c r="T905">
        <v>4</v>
      </c>
      <c r="U905">
        <v>4</v>
      </c>
      <c r="V905">
        <v>1</v>
      </c>
      <c r="W905">
        <v>0</v>
      </c>
      <c r="X905">
        <v>0</v>
      </c>
      <c r="Y905" s="20">
        <f>SUM(Table1[[#This Row],[dty_type_cnt1]:[dty_type_cnt5]])</f>
        <v>9</v>
      </c>
    </row>
    <row r="906" spans="1:25" x14ac:dyDescent="0.25">
      <c r="A906" s="15">
        <v>46101</v>
      </c>
      <c r="B906" t="s">
        <v>430</v>
      </c>
      <c r="C906" t="s">
        <v>372</v>
      </c>
      <c r="D906" t="s">
        <v>46</v>
      </c>
      <c r="E906" t="s">
        <v>236</v>
      </c>
      <c r="F906" t="s">
        <v>237</v>
      </c>
      <c r="G906" t="s">
        <v>373</v>
      </c>
      <c r="H906" t="s">
        <v>374</v>
      </c>
      <c r="I906" t="s">
        <v>373</v>
      </c>
      <c r="J906" t="s">
        <v>0</v>
      </c>
      <c r="K906" t="s">
        <v>1</v>
      </c>
      <c r="L906">
        <v>27440</v>
      </c>
      <c r="M906">
        <v>104</v>
      </c>
      <c r="N906">
        <v>24</v>
      </c>
      <c r="O906">
        <v>3207.9110000000001</v>
      </c>
      <c r="P906">
        <v>578.20000000000005</v>
      </c>
      <c r="Q906">
        <v>15</v>
      </c>
      <c r="R906">
        <v>10</v>
      </c>
      <c r="S906" t="s">
        <v>116</v>
      </c>
      <c r="T906">
        <v>11</v>
      </c>
      <c r="U906">
        <v>8</v>
      </c>
      <c r="V906">
        <v>1</v>
      </c>
      <c r="W906">
        <v>0</v>
      </c>
      <c r="X906">
        <v>0</v>
      </c>
      <c r="Y906" s="20">
        <f>SUM(Table1[[#This Row],[dty_type_cnt1]:[dty_type_cnt5]])</f>
        <v>20</v>
      </c>
    </row>
    <row r="907" spans="1:25" x14ac:dyDescent="0.25">
      <c r="A907" s="15">
        <v>46101</v>
      </c>
      <c r="B907" t="s">
        <v>430</v>
      </c>
      <c r="C907" t="s">
        <v>372</v>
      </c>
      <c r="D907" t="s">
        <v>46</v>
      </c>
      <c r="E907">
        <v>33</v>
      </c>
      <c r="F907" t="s">
        <v>238</v>
      </c>
      <c r="G907" t="s">
        <v>373</v>
      </c>
      <c r="H907" t="s">
        <v>374</v>
      </c>
      <c r="I907" t="s">
        <v>373</v>
      </c>
      <c r="J907" t="s">
        <v>0</v>
      </c>
      <c r="K907" t="s">
        <v>1</v>
      </c>
      <c r="L907">
        <v>27440</v>
      </c>
      <c r="M907">
        <v>8</v>
      </c>
      <c r="N907">
        <v>4</v>
      </c>
      <c r="O907">
        <v>224.44399999999999</v>
      </c>
      <c r="P907">
        <v>60.5</v>
      </c>
      <c r="Q907">
        <v>85</v>
      </c>
      <c r="R907">
        <v>1</v>
      </c>
      <c r="S907" t="s">
        <v>116</v>
      </c>
      <c r="T907">
        <v>1</v>
      </c>
      <c r="U907">
        <v>1</v>
      </c>
      <c r="V907">
        <v>0</v>
      </c>
      <c r="W907">
        <v>0</v>
      </c>
      <c r="X907">
        <v>0</v>
      </c>
      <c r="Y907" s="20">
        <f>SUM(Table1[[#This Row],[dty_type_cnt1]:[dty_type_cnt5]])</f>
        <v>2</v>
      </c>
    </row>
    <row r="908" spans="1:25" x14ac:dyDescent="0.25">
      <c r="A908" s="15">
        <v>46101</v>
      </c>
      <c r="B908" t="s">
        <v>430</v>
      </c>
      <c r="C908" t="s">
        <v>372</v>
      </c>
      <c r="D908" t="s">
        <v>46</v>
      </c>
      <c r="E908">
        <v>61</v>
      </c>
      <c r="F908" t="s">
        <v>378</v>
      </c>
      <c r="G908" t="s">
        <v>373</v>
      </c>
      <c r="H908" t="s">
        <v>374</v>
      </c>
      <c r="I908" t="s">
        <v>373</v>
      </c>
      <c r="J908" t="s">
        <v>0</v>
      </c>
      <c r="K908" t="s">
        <v>1</v>
      </c>
      <c r="L908">
        <v>27440</v>
      </c>
      <c r="M908">
        <v>21</v>
      </c>
      <c r="N908">
        <v>14</v>
      </c>
      <c r="O908">
        <v>561.01</v>
      </c>
      <c r="P908">
        <v>266.39999999999998</v>
      </c>
      <c r="Q908">
        <v>15</v>
      </c>
      <c r="R908">
        <v>4</v>
      </c>
      <c r="S908" t="s">
        <v>116</v>
      </c>
      <c r="T908">
        <v>3</v>
      </c>
      <c r="U908">
        <v>2</v>
      </c>
      <c r="V908">
        <v>2</v>
      </c>
      <c r="W908">
        <v>0</v>
      </c>
      <c r="X908">
        <v>0</v>
      </c>
      <c r="Y908" s="20">
        <f>SUM(Table1[[#This Row],[dty_type_cnt1]:[dty_type_cnt5]])</f>
        <v>7</v>
      </c>
    </row>
    <row r="909" spans="1:25" x14ac:dyDescent="0.25">
      <c r="A909" s="15">
        <v>46101</v>
      </c>
      <c r="B909" t="s">
        <v>430</v>
      </c>
      <c r="C909" t="s">
        <v>372</v>
      </c>
      <c r="D909" t="s">
        <v>46</v>
      </c>
      <c r="E909">
        <v>66</v>
      </c>
      <c r="F909" t="s">
        <v>379</v>
      </c>
      <c r="G909" t="s">
        <v>373</v>
      </c>
      <c r="H909" t="s">
        <v>374</v>
      </c>
      <c r="I909" t="s">
        <v>373</v>
      </c>
      <c r="J909" t="s">
        <v>171</v>
      </c>
      <c r="K909" t="s">
        <v>1</v>
      </c>
      <c r="L909">
        <v>27440</v>
      </c>
      <c r="M909">
        <v>16</v>
      </c>
      <c r="N909">
        <v>6</v>
      </c>
      <c r="O909">
        <v>1246.6479999999999</v>
      </c>
      <c r="P909">
        <v>108.5</v>
      </c>
      <c r="Q909">
        <v>99</v>
      </c>
      <c r="R909">
        <v>2</v>
      </c>
      <c r="S909" t="s">
        <v>116</v>
      </c>
      <c r="T909">
        <v>2</v>
      </c>
      <c r="U909">
        <v>2</v>
      </c>
      <c r="V909">
        <v>0</v>
      </c>
      <c r="W909">
        <v>0</v>
      </c>
      <c r="X909">
        <v>0</v>
      </c>
      <c r="Y909" s="20">
        <f>SUM(Table1[[#This Row],[dty_type_cnt1]:[dty_type_cnt5]])</f>
        <v>4</v>
      </c>
    </row>
    <row r="910" spans="1:25" x14ac:dyDescent="0.25">
      <c r="A910" s="15">
        <v>46101</v>
      </c>
      <c r="B910" t="s">
        <v>430</v>
      </c>
      <c r="C910" t="s">
        <v>372</v>
      </c>
      <c r="D910" t="s">
        <v>46</v>
      </c>
      <c r="E910">
        <v>67</v>
      </c>
      <c r="F910" t="s">
        <v>380</v>
      </c>
      <c r="G910" t="s">
        <v>373</v>
      </c>
      <c r="H910" t="s">
        <v>374</v>
      </c>
      <c r="I910" t="s">
        <v>373</v>
      </c>
      <c r="J910" t="s">
        <v>171</v>
      </c>
      <c r="K910" t="s">
        <v>1</v>
      </c>
      <c r="L910">
        <v>27440</v>
      </c>
      <c r="M910">
        <v>16</v>
      </c>
      <c r="N910">
        <v>8</v>
      </c>
      <c r="O910">
        <v>1317.664</v>
      </c>
      <c r="P910">
        <v>163.19999999999999</v>
      </c>
      <c r="Q910">
        <v>115</v>
      </c>
      <c r="R910">
        <v>3</v>
      </c>
      <c r="S910" t="s">
        <v>116</v>
      </c>
      <c r="T910">
        <v>2</v>
      </c>
      <c r="U910">
        <v>3</v>
      </c>
      <c r="V910">
        <v>1</v>
      </c>
      <c r="W910">
        <v>0</v>
      </c>
      <c r="X910">
        <v>0</v>
      </c>
      <c r="Y910" s="20">
        <f>SUM(Table1[[#This Row],[dty_type_cnt1]:[dty_type_cnt5]])</f>
        <v>6</v>
      </c>
    </row>
    <row r="911" spans="1:25" x14ac:dyDescent="0.25">
      <c r="A911" s="15">
        <v>46101</v>
      </c>
      <c r="B911" t="s">
        <v>430</v>
      </c>
      <c r="C911" t="s">
        <v>372</v>
      </c>
      <c r="D911" t="s">
        <v>46</v>
      </c>
      <c r="E911">
        <v>68</v>
      </c>
      <c r="F911" t="s">
        <v>381</v>
      </c>
      <c r="G911" t="s">
        <v>373</v>
      </c>
      <c r="H911" t="s">
        <v>374</v>
      </c>
      <c r="I911" t="s">
        <v>373</v>
      </c>
      <c r="J911" t="s">
        <v>171</v>
      </c>
      <c r="K911" t="s">
        <v>1</v>
      </c>
      <c r="L911">
        <v>27440</v>
      </c>
      <c r="M911">
        <v>4</v>
      </c>
      <c r="N911">
        <v>4</v>
      </c>
      <c r="O911">
        <v>542.15200000000004</v>
      </c>
      <c r="P911">
        <v>114.6</v>
      </c>
      <c r="Q911">
        <v>180</v>
      </c>
      <c r="R911">
        <v>1</v>
      </c>
      <c r="S911" t="s">
        <v>116</v>
      </c>
      <c r="T911">
        <v>1</v>
      </c>
      <c r="U911">
        <v>1</v>
      </c>
      <c r="V911">
        <v>0</v>
      </c>
      <c r="W911">
        <v>0</v>
      </c>
      <c r="X911">
        <v>0</v>
      </c>
      <c r="Y911" s="20">
        <f>SUM(Table1[[#This Row],[dty_type_cnt1]:[dty_type_cnt5]])</f>
        <v>2</v>
      </c>
    </row>
    <row r="912" spans="1:25" x14ac:dyDescent="0.25">
      <c r="A912" s="15">
        <v>46101</v>
      </c>
      <c r="B912" t="s">
        <v>430</v>
      </c>
      <c r="C912" t="s">
        <v>372</v>
      </c>
      <c r="D912" t="s">
        <v>46</v>
      </c>
      <c r="E912">
        <v>83</v>
      </c>
      <c r="F912" t="s">
        <v>163</v>
      </c>
      <c r="G912" t="s">
        <v>373</v>
      </c>
      <c r="H912" t="s">
        <v>374</v>
      </c>
      <c r="I912" t="s">
        <v>373</v>
      </c>
      <c r="J912" t="s">
        <v>0</v>
      </c>
      <c r="K912" t="s">
        <v>1</v>
      </c>
      <c r="L912">
        <v>27440</v>
      </c>
      <c r="M912">
        <v>24</v>
      </c>
      <c r="N912">
        <v>16</v>
      </c>
      <c r="O912">
        <v>849.64099999999996</v>
      </c>
      <c r="P912">
        <v>297.7</v>
      </c>
      <c r="Q912">
        <v>30</v>
      </c>
      <c r="R912">
        <v>4</v>
      </c>
      <c r="S912" t="s">
        <v>116</v>
      </c>
      <c r="T912">
        <v>4</v>
      </c>
      <c r="U912">
        <v>3</v>
      </c>
      <c r="V912">
        <v>1</v>
      </c>
      <c r="W912">
        <v>0</v>
      </c>
      <c r="X912">
        <v>0</v>
      </c>
      <c r="Y912" s="20">
        <f>SUM(Table1[[#This Row],[dty_type_cnt1]:[dty_type_cnt5]])</f>
        <v>8</v>
      </c>
    </row>
    <row r="913" spans="1:25" x14ac:dyDescent="0.25">
      <c r="A913" s="15">
        <v>46101</v>
      </c>
      <c r="B913" t="s">
        <v>430</v>
      </c>
      <c r="C913" t="s">
        <v>372</v>
      </c>
      <c r="D913" t="s">
        <v>46</v>
      </c>
      <c r="E913" t="s">
        <v>120</v>
      </c>
      <c r="F913" t="s">
        <v>121</v>
      </c>
      <c r="G913" t="s">
        <v>373</v>
      </c>
      <c r="H913" t="s">
        <v>374</v>
      </c>
      <c r="I913" t="s">
        <v>373</v>
      </c>
      <c r="J913" t="s">
        <v>47</v>
      </c>
      <c r="K913" t="s">
        <v>1</v>
      </c>
      <c r="L913">
        <v>27440</v>
      </c>
      <c r="M913">
        <v>78</v>
      </c>
      <c r="N913">
        <v>12</v>
      </c>
      <c r="O913">
        <v>1326.864</v>
      </c>
      <c r="P913">
        <v>310</v>
      </c>
      <c r="Q913">
        <v>15</v>
      </c>
      <c r="R913">
        <v>6</v>
      </c>
      <c r="S913" t="s">
        <v>116</v>
      </c>
      <c r="T913">
        <v>8</v>
      </c>
      <c r="U913">
        <v>4</v>
      </c>
      <c r="V913">
        <v>6</v>
      </c>
      <c r="W913">
        <v>0</v>
      </c>
      <c r="X913">
        <v>0</v>
      </c>
      <c r="Y913" s="20">
        <f>SUM(Table1[[#This Row],[dty_type_cnt1]:[dty_type_cnt5]])</f>
        <v>18</v>
      </c>
    </row>
    <row r="914" spans="1:25" x14ac:dyDescent="0.25">
      <c r="A914" s="15">
        <v>46101</v>
      </c>
      <c r="B914" t="s">
        <v>430</v>
      </c>
      <c r="C914" t="s">
        <v>372</v>
      </c>
      <c r="D914" t="s">
        <v>46</v>
      </c>
      <c r="E914" t="s">
        <v>56</v>
      </c>
      <c r="F914" t="s">
        <v>57</v>
      </c>
      <c r="G914" t="s">
        <v>373</v>
      </c>
      <c r="H914" t="s">
        <v>374</v>
      </c>
      <c r="I914" t="s">
        <v>373</v>
      </c>
      <c r="J914" t="s">
        <v>0</v>
      </c>
      <c r="K914" t="s">
        <v>1</v>
      </c>
      <c r="L914">
        <v>27440</v>
      </c>
      <c r="M914">
        <v>91</v>
      </c>
      <c r="N914">
        <v>28</v>
      </c>
      <c r="O914">
        <v>1583.63</v>
      </c>
      <c r="P914">
        <v>600.20000000000005</v>
      </c>
      <c r="Q914">
        <v>20</v>
      </c>
      <c r="R914">
        <v>10</v>
      </c>
      <c r="S914" t="s">
        <v>116</v>
      </c>
      <c r="T914">
        <v>9</v>
      </c>
      <c r="U914">
        <v>8</v>
      </c>
      <c r="V914">
        <v>2</v>
      </c>
      <c r="W914">
        <v>0</v>
      </c>
      <c r="X914">
        <v>0</v>
      </c>
      <c r="Y914" s="20">
        <f>SUM(Table1[[#This Row],[dty_type_cnt1]:[dty_type_cnt5]])</f>
        <v>19</v>
      </c>
    </row>
    <row r="915" spans="1:25" x14ac:dyDescent="0.25">
      <c r="A915" s="15">
        <v>46101</v>
      </c>
      <c r="B915" t="s">
        <v>430</v>
      </c>
      <c r="C915" t="s">
        <v>372</v>
      </c>
      <c r="D915" t="s">
        <v>46</v>
      </c>
      <c r="E915" t="s">
        <v>382</v>
      </c>
      <c r="F915" t="s">
        <v>383</v>
      </c>
      <c r="G915" t="s">
        <v>373</v>
      </c>
      <c r="H915" t="s">
        <v>374</v>
      </c>
      <c r="I915" t="s">
        <v>373</v>
      </c>
      <c r="J915" t="s">
        <v>0</v>
      </c>
      <c r="K915" t="s">
        <v>1</v>
      </c>
      <c r="L915">
        <v>27440</v>
      </c>
      <c r="M915">
        <v>42</v>
      </c>
      <c r="N915">
        <v>12</v>
      </c>
      <c r="O915">
        <v>907.947</v>
      </c>
      <c r="P915">
        <v>243.86199999999999</v>
      </c>
      <c r="Q915">
        <v>30</v>
      </c>
      <c r="R915">
        <v>4</v>
      </c>
      <c r="S915" t="s">
        <v>116</v>
      </c>
      <c r="T915">
        <v>4</v>
      </c>
      <c r="U915">
        <v>4</v>
      </c>
      <c r="V915">
        <v>0</v>
      </c>
      <c r="W915">
        <v>0</v>
      </c>
      <c r="X915">
        <v>0</v>
      </c>
      <c r="Y915" s="20">
        <f>SUM(Table1[[#This Row],[dty_type_cnt1]:[dty_type_cnt5]])</f>
        <v>8</v>
      </c>
    </row>
    <row r="916" spans="1:25" x14ac:dyDescent="0.25">
      <c r="A916" s="15">
        <v>46101</v>
      </c>
      <c r="B916" t="s">
        <v>430</v>
      </c>
      <c r="C916" t="s">
        <v>372</v>
      </c>
      <c r="D916" t="s">
        <v>46</v>
      </c>
      <c r="E916" t="s">
        <v>77</v>
      </c>
      <c r="F916" t="s">
        <v>78</v>
      </c>
      <c r="G916" t="s">
        <v>373</v>
      </c>
      <c r="H916" t="s">
        <v>374</v>
      </c>
      <c r="I916" t="s">
        <v>373</v>
      </c>
      <c r="J916" t="s">
        <v>0</v>
      </c>
      <c r="K916" t="s">
        <v>1</v>
      </c>
      <c r="L916">
        <v>27440</v>
      </c>
      <c r="M916">
        <v>54</v>
      </c>
      <c r="N916">
        <v>16</v>
      </c>
      <c r="O916">
        <v>882.15700000000004</v>
      </c>
      <c r="P916">
        <v>394.1</v>
      </c>
      <c r="Q916">
        <v>30</v>
      </c>
      <c r="R916">
        <v>6</v>
      </c>
      <c r="S916" t="s">
        <v>116</v>
      </c>
      <c r="T916">
        <v>6</v>
      </c>
      <c r="U916">
        <v>6</v>
      </c>
      <c r="V916">
        <v>0</v>
      </c>
      <c r="W916">
        <v>0</v>
      </c>
      <c r="X916">
        <v>0</v>
      </c>
      <c r="Y916" s="20">
        <f>SUM(Table1[[#This Row],[dty_type_cnt1]:[dty_type_cnt5]])</f>
        <v>12</v>
      </c>
    </row>
    <row r="917" spans="1:25" x14ac:dyDescent="0.25">
      <c r="A917" s="15">
        <v>46101</v>
      </c>
      <c r="B917" t="s">
        <v>430</v>
      </c>
      <c r="C917" t="s">
        <v>372</v>
      </c>
      <c r="D917" t="s">
        <v>46</v>
      </c>
      <c r="E917" t="s">
        <v>240</v>
      </c>
      <c r="F917" t="s">
        <v>241</v>
      </c>
      <c r="G917" t="s">
        <v>373</v>
      </c>
      <c r="H917" t="s">
        <v>374</v>
      </c>
      <c r="I917" t="s">
        <v>373</v>
      </c>
      <c r="J917" t="s">
        <v>0</v>
      </c>
      <c r="K917" t="s">
        <v>1</v>
      </c>
      <c r="L917">
        <v>27440</v>
      </c>
      <c r="M917">
        <v>20</v>
      </c>
      <c r="N917">
        <v>14</v>
      </c>
      <c r="O917">
        <v>479.416</v>
      </c>
      <c r="P917">
        <v>368</v>
      </c>
      <c r="Q917">
        <v>15</v>
      </c>
      <c r="R917">
        <v>7</v>
      </c>
      <c r="S917" t="s">
        <v>116</v>
      </c>
      <c r="T917">
        <v>0</v>
      </c>
      <c r="U917">
        <v>1</v>
      </c>
      <c r="V917">
        <v>6</v>
      </c>
      <c r="W917">
        <v>0</v>
      </c>
      <c r="X917">
        <v>0</v>
      </c>
      <c r="Y917" s="20">
        <f>SUM(Table1[[#This Row],[dty_type_cnt1]:[dty_type_cnt5]])</f>
        <v>7</v>
      </c>
    </row>
    <row r="918" spans="1:25" x14ac:dyDescent="0.25">
      <c r="A918" s="15">
        <v>46101</v>
      </c>
      <c r="B918" t="s">
        <v>430</v>
      </c>
      <c r="C918" t="s">
        <v>372</v>
      </c>
      <c r="D918" t="s">
        <v>55</v>
      </c>
      <c r="E918" t="s">
        <v>384</v>
      </c>
      <c r="F918" t="s">
        <v>385</v>
      </c>
      <c r="G918" t="s">
        <v>373</v>
      </c>
      <c r="H918" t="s">
        <v>374</v>
      </c>
      <c r="I918" t="s">
        <v>373</v>
      </c>
      <c r="J918" t="s">
        <v>171</v>
      </c>
      <c r="K918" t="s">
        <v>1</v>
      </c>
      <c r="L918">
        <v>27440</v>
      </c>
      <c r="M918">
        <v>24</v>
      </c>
      <c r="N918">
        <v>8</v>
      </c>
      <c r="O918">
        <v>248.68799999999999</v>
      </c>
      <c r="P918">
        <v>144.19999999999999</v>
      </c>
      <c r="Q918">
        <v>19</v>
      </c>
      <c r="R918">
        <v>2</v>
      </c>
      <c r="S918" t="s">
        <v>116</v>
      </c>
      <c r="T918">
        <v>2</v>
      </c>
      <c r="U918">
        <v>1</v>
      </c>
      <c r="V918">
        <v>1</v>
      </c>
      <c r="W918">
        <v>0</v>
      </c>
      <c r="X918">
        <v>0</v>
      </c>
      <c r="Y918" s="20">
        <f>SUM(Table1[[#This Row],[dty_type_cnt1]:[dty_type_cnt5]])</f>
        <v>4</v>
      </c>
    </row>
    <row r="919" spans="1:25" x14ac:dyDescent="0.25">
      <c r="A919" s="15">
        <v>46101</v>
      </c>
      <c r="B919" t="s">
        <v>430</v>
      </c>
      <c r="C919" t="s">
        <v>372</v>
      </c>
      <c r="D919" t="s">
        <v>54</v>
      </c>
      <c r="E919" t="s">
        <v>386</v>
      </c>
      <c r="F919" t="s">
        <v>387</v>
      </c>
      <c r="G919" t="s">
        <v>373</v>
      </c>
      <c r="H919" t="s">
        <v>374</v>
      </c>
      <c r="I919" t="s">
        <v>373</v>
      </c>
      <c r="J919" t="s">
        <v>47</v>
      </c>
      <c r="K919" t="s">
        <v>1</v>
      </c>
      <c r="L919">
        <v>27440</v>
      </c>
      <c r="M919">
        <v>49</v>
      </c>
      <c r="N919">
        <v>8</v>
      </c>
      <c r="O919">
        <v>468.30200000000002</v>
      </c>
      <c r="P919">
        <v>194.6</v>
      </c>
      <c r="Q919">
        <v>30</v>
      </c>
      <c r="R919">
        <v>3</v>
      </c>
      <c r="S919" t="s">
        <v>116</v>
      </c>
      <c r="T919">
        <v>4</v>
      </c>
      <c r="U919">
        <v>2</v>
      </c>
      <c r="V919">
        <v>1</v>
      </c>
      <c r="W919">
        <v>0</v>
      </c>
      <c r="X919">
        <v>0</v>
      </c>
      <c r="Y919" s="20">
        <f>SUM(Table1[[#This Row],[dty_type_cnt1]:[dty_type_cnt5]])</f>
        <v>7</v>
      </c>
    </row>
    <row r="920" spans="1:25" x14ac:dyDescent="0.25">
      <c r="A920" s="15">
        <v>46101</v>
      </c>
      <c r="B920" t="s">
        <v>430</v>
      </c>
      <c r="C920" t="s">
        <v>372</v>
      </c>
      <c r="D920" t="s">
        <v>54</v>
      </c>
      <c r="E920" t="s">
        <v>388</v>
      </c>
      <c r="F920" t="s">
        <v>389</v>
      </c>
      <c r="G920" t="s">
        <v>373</v>
      </c>
      <c r="H920" t="s">
        <v>374</v>
      </c>
      <c r="I920" t="s">
        <v>373</v>
      </c>
      <c r="J920" t="s">
        <v>0</v>
      </c>
      <c r="K920" t="s">
        <v>1</v>
      </c>
      <c r="L920">
        <v>27440</v>
      </c>
      <c r="M920">
        <v>88</v>
      </c>
      <c r="N920">
        <v>12</v>
      </c>
      <c r="O920">
        <v>564.87199999999996</v>
      </c>
      <c r="P920">
        <v>261.2</v>
      </c>
      <c r="Q920">
        <v>10</v>
      </c>
      <c r="R920">
        <v>4</v>
      </c>
      <c r="S920" t="s">
        <v>116</v>
      </c>
      <c r="T920">
        <v>4</v>
      </c>
      <c r="U920">
        <v>2</v>
      </c>
      <c r="V920">
        <v>2</v>
      </c>
      <c r="W920">
        <v>0</v>
      </c>
      <c r="X920">
        <v>0</v>
      </c>
      <c r="Y920" s="20">
        <f>SUM(Table1[[#This Row],[dty_type_cnt1]:[dty_type_cnt5]])</f>
        <v>8</v>
      </c>
    </row>
    <row r="921" spans="1:25" x14ac:dyDescent="0.25">
      <c r="A921" s="15">
        <v>46101</v>
      </c>
      <c r="B921" t="s">
        <v>430</v>
      </c>
      <c r="C921" t="s">
        <v>372</v>
      </c>
      <c r="D921" t="s">
        <v>54</v>
      </c>
      <c r="E921" t="s">
        <v>287</v>
      </c>
      <c r="F921" t="s">
        <v>288</v>
      </c>
      <c r="G921" t="s">
        <v>373</v>
      </c>
      <c r="H921" t="s">
        <v>374</v>
      </c>
      <c r="I921" t="s">
        <v>373</v>
      </c>
      <c r="J921" t="s">
        <v>47</v>
      </c>
      <c r="K921" t="s">
        <v>1</v>
      </c>
      <c r="L921">
        <v>27440</v>
      </c>
      <c r="M921">
        <v>81</v>
      </c>
      <c r="N921">
        <v>12</v>
      </c>
      <c r="O921">
        <v>1134.6479999999999</v>
      </c>
      <c r="P921">
        <v>290.39999999999998</v>
      </c>
      <c r="Q921">
        <v>8</v>
      </c>
      <c r="R921">
        <v>6</v>
      </c>
      <c r="S921" t="s">
        <v>116</v>
      </c>
      <c r="T921">
        <v>6</v>
      </c>
      <c r="U921">
        <v>6</v>
      </c>
      <c r="V921">
        <v>0</v>
      </c>
      <c r="W921">
        <v>0</v>
      </c>
      <c r="X921">
        <v>0</v>
      </c>
      <c r="Y921" s="20">
        <f>SUM(Table1[[#This Row],[dty_type_cnt1]:[dty_type_cnt5]])</f>
        <v>12</v>
      </c>
    </row>
    <row r="922" spans="1:25" x14ac:dyDescent="0.25">
      <c r="A922" s="15">
        <v>46102</v>
      </c>
      <c r="B922" t="s">
        <v>430</v>
      </c>
      <c r="C922" t="s">
        <v>372</v>
      </c>
      <c r="D922" t="s">
        <v>54</v>
      </c>
      <c r="E922" t="s">
        <v>390</v>
      </c>
      <c r="F922" t="s">
        <v>391</v>
      </c>
      <c r="G922" t="s">
        <v>373</v>
      </c>
      <c r="H922" t="s">
        <v>374</v>
      </c>
      <c r="I922" t="s">
        <v>373</v>
      </c>
      <c r="J922" t="s">
        <v>47</v>
      </c>
      <c r="K922" t="s">
        <v>1</v>
      </c>
      <c r="L922">
        <v>27440</v>
      </c>
      <c r="M922">
        <v>70</v>
      </c>
      <c r="N922">
        <v>24</v>
      </c>
      <c r="O922">
        <v>853.93</v>
      </c>
      <c r="P922">
        <v>382.8</v>
      </c>
      <c r="Q922">
        <v>10</v>
      </c>
      <c r="R922">
        <v>6</v>
      </c>
      <c r="S922" t="s">
        <v>116</v>
      </c>
      <c r="T922">
        <v>6</v>
      </c>
      <c r="U922">
        <v>4</v>
      </c>
      <c r="V922">
        <v>2</v>
      </c>
      <c r="W922">
        <v>0</v>
      </c>
      <c r="X922">
        <v>0</v>
      </c>
      <c r="Y922" s="20">
        <f>SUM(Table1[[#This Row],[dty_type_cnt1]:[dty_type_cnt5]])</f>
        <v>12</v>
      </c>
    </row>
    <row r="923" spans="1:25" x14ac:dyDescent="0.25">
      <c r="A923" s="15">
        <v>46102</v>
      </c>
      <c r="B923" t="s">
        <v>430</v>
      </c>
      <c r="C923" t="s">
        <v>372</v>
      </c>
      <c r="D923" t="s">
        <v>54</v>
      </c>
      <c r="E923" t="s">
        <v>392</v>
      </c>
      <c r="F923" t="s">
        <v>393</v>
      </c>
      <c r="G923" t="s">
        <v>373</v>
      </c>
      <c r="H923" t="s">
        <v>374</v>
      </c>
      <c r="I923" t="s">
        <v>373</v>
      </c>
      <c r="J923" t="s">
        <v>0</v>
      </c>
      <c r="K923" t="s">
        <v>1</v>
      </c>
      <c r="L923">
        <v>27440</v>
      </c>
      <c r="M923">
        <v>52</v>
      </c>
      <c r="N923">
        <v>4</v>
      </c>
      <c r="O923">
        <v>192.71199999999999</v>
      </c>
      <c r="P923">
        <v>72.349999999999994</v>
      </c>
      <c r="Q923">
        <v>23</v>
      </c>
      <c r="R923">
        <v>3</v>
      </c>
      <c r="S923" t="s">
        <v>116</v>
      </c>
      <c r="T923">
        <v>2</v>
      </c>
      <c r="U923">
        <v>1</v>
      </c>
      <c r="V923">
        <v>1</v>
      </c>
      <c r="W923">
        <v>0</v>
      </c>
      <c r="X923">
        <v>0</v>
      </c>
      <c r="Y923" s="20">
        <f>SUM(Table1[[#This Row],[dty_type_cnt1]:[dty_type_cnt5]])</f>
        <v>4</v>
      </c>
    </row>
    <row r="924" spans="1:25" x14ac:dyDescent="0.25">
      <c r="A924" s="15">
        <v>46102</v>
      </c>
      <c r="B924" t="s">
        <v>430</v>
      </c>
      <c r="C924" t="s">
        <v>372</v>
      </c>
      <c r="D924" t="s">
        <v>54</v>
      </c>
      <c r="E924" t="s">
        <v>394</v>
      </c>
      <c r="F924" t="s">
        <v>395</v>
      </c>
      <c r="G924" t="s">
        <v>373</v>
      </c>
      <c r="H924" t="s">
        <v>374</v>
      </c>
      <c r="I924" t="s">
        <v>373</v>
      </c>
      <c r="J924" t="s">
        <v>47</v>
      </c>
      <c r="K924" t="s">
        <v>1</v>
      </c>
      <c r="L924">
        <v>27440</v>
      </c>
      <c r="M924">
        <v>59</v>
      </c>
      <c r="N924">
        <v>16</v>
      </c>
      <c r="O924">
        <v>682.98400000000004</v>
      </c>
      <c r="P924">
        <v>324.5</v>
      </c>
      <c r="Q924">
        <v>9</v>
      </c>
      <c r="R924">
        <v>5</v>
      </c>
      <c r="S924" t="s">
        <v>116</v>
      </c>
      <c r="T924">
        <v>9</v>
      </c>
      <c r="U924">
        <v>7</v>
      </c>
      <c r="V924">
        <v>0</v>
      </c>
      <c r="W924">
        <v>0</v>
      </c>
      <c r="X924">
        <v>0</v>
      </c>
      <c r="Y924" s="20">
        <f>SUM(Table1[[#This Row],[dty_type_cnt1]:[dty_type_cnt5]])</f>
        <v>16</v>
      </c>
    </row>
    <row r="925" spans="1:25" x14ac:dyDescent="0.25">
      <c r="A925" s="15">
        <v>46102</v>
      </c>
      <c r="B925" t="s">
        <v>430</v>
      </c>
      <c r="C925" t="s">
        <v>372</v>
      </c>
      <c r="D925" t="s">
        <v>54</v>
      </c>
      <c r="E925" t="s">
        <v>396</v>
      </c>
      <c r="F925" t="s">
        <v>397</v>
      </c>
      <c r="G925" t="s">
        <v>373</v>
      </c>
      <c r="H925" t="s">
        <v>374</v>
      </c>
      <c r="I925" t="s">
        <v>373</v>
      </c>
      <c r="J925" t="s">
        <v>47</v>
      </c>
      <c r="K925" t="s">
        <v>1</v>
      </c>
      <c r="L925">
        <v>27440</v>
      </c>
      <c r="M925">
        <v>59</v>
      </c>
      <c r="N925">
        <v>16</v>
      </c>
      <c r="O925">
        <v>705.11300000000006</v>
      </c>
      <c r="P925">
        <v>323</v>
      </c>
      <c r="Q925">
        <v>8</v>
      </c>
      <c r="R925">
        <v>7</v>
      </c>
      <c r="S925" t="s">
        <v>116</v>
      </c>
      <c r="T925">
        <v>3</v>
      </c>
      <c r="U925">
        <v>0</v>
      </c>
      <c r="V925">
        <v>1</v>
      </c>
      <c r="W925">
        <v>0</v>
      </c>
      <c r="X925">
        <v>0</v>
      </c>
      <c r="Y925" s="20">
        <f>SUM(Table1[[#This Row],[dty_type_cnt1]:[dty_type_cnt5]])</f>
        <v>4</v>
      </c>
    </row>
    <row r="926" spans="1:25" x14ac:dyDescent="0.25">
      <c r="A926" s="15">
        <v>46102</v>
      </c>
      <c r="B926" t="s">
        <v>430</v>
      </c>
      <c r="C926" t="s">
        <v>372</v>
      </c>
      <c r="D926" t="s">
        <v>54</v>
      </c>
      <c r="E926" t="s">
        <v>398</v>
      </c>
      <c r="F926" t="s">
        <v>399</v>
      </c>
      <c r="G926" t="s">
        <v>373</v>
      </c>
      <c r="H926" t="s">
        <v>374</v>
      </c>
      <c r="I926" t="s">
        <v>373</v>
      </c>
      <c r="J926" t="s">
        <v>47</v>
      </c>
      <c r="K926" t="s">
        <v>1</v>
      </c>
      <c r="L926">
        <v>27440</v>
      </c>
      <c r="M926">
        <v>48</v>
      </c>
      <c r="N926">
        <v>14</v>
      </c>
      <c r="O926">
        <v>1046.604</v>
      </c>
      <c r="P926">
        <v>371.9</v>
      </c>
      <c r="Q926">
        <v>20</v>
      </c>
      <c r="R926">
        <v>5</v>
      </c>
      <c r="S926" t="s">
        <v>116</v>
      </c>
      <c r="T926">
        <v>7</v>
      </c>
      <c r="U926">
        <v>3</v>
      </c>
      <c r="V926">
        <v>2</v>
      </c>
      <c r="W926">
        <v>0</v>
      </c>
      <c r="X926">
        <v>0</v>
      </c>
      <c r="Y926" s="20">
        <f>SUM(Table1[[#This Row],[dty_type_cnt1]:[dty_type_cnt5]])</f>
        <v>12</v>
      </c>
    </row>
    <row r="927" spans="1:25" x14ac:dyDescent="0.25">
      <c r="A927" s="15">
        <v>46102</v>
      </c>
      <c r="B927" t="s">
        <v>430</v>
      </c>
      <c r="C927" t="s">
        <v>372</v>
      </c>
      <c r="D927" t="s">
        <v>54</v>
      </c>
      <c r="E927" t="s">
        <v>400</v>
      </c>
      <c r="F927" t="s">
        <v>401</v>
      </c>
      <c r="G927" t="s">
        <v>373</v>
      </c>
      <c r="H927" t="s">
        <v>374</v>
      </c>
      <c r="I927" t="s">
        <v>373</v>
      </c>
      <c r="J927" t="s">
        <v>0</v>
      </c>
      <c r="K927" t="s">
        <v>1</v>
      </c>
      <c r="L927">
        <v>27440</v>
      </c>
      <c r="M927">
        <v>92</v>
      </c>
      <c r="N927">
        <v>16</v>
      </c>
      <c r="O927">
        <v>822.84799999999996</v>
      </c>
      <c r="P927">
        <v>264.39999999999998</v>
      </c>
      <c r="Q927">
        <v>7</v>
      </c>
      <c r="R927">
        <v>5</v>
      </c>
      <c r="S927" t="s">
        <v>116</v>
      </c>
      <c r="T927">
        <v>5</v>
      </c>
      <c r="U927">
        <v>2</v>
      </c>
      <c r="V927">
        <v>3</v>
      </c>
      <c r="W927">
        <v>0</v>
      </c>
      <c r="X927">
        <v>0</v>
      </c>
      <c r="Y927" s="20">
        <f>SUM(Table1[[#This Row],[dty_type_cnt1]:[dty_type_cnt5]])</f>
        <v>10</v>
      </c>
    </row>
    <row r="928" spans="1:25" x14ac:dyDescent="0.25">
      <c r="A928" s="15">
        <v>46102</v>
      </c>
      <c r="B928" t="s">
        <v>430</v>
      </c>
      <c r="C928" t="s">
        <v>372</v>
      </c>
      <c r="D928" t="s">
        <v>54</v>
      </c>
      <c r="E928" t="s">
        <v>402</v>
      </c>
      <c r="F928" t="s">
        <v>403</v>
      </c>
      <c r="G928" t="s">
        <v>373</v>
      </c>
      <c r="H928" t="s">
        <v>374</v>
      </c>
      <c r="I928" t="s">
        <v>373</v>
      </c>
      <c r="J928" t="s">
        <v>47</v>
      </c>
      <c r="K928" t="s">
        <v>1</v>
      </c>
      <c r="L928">
        <v>27440</v>
      </c>
      <c r="M928">
        <v>53</v>
      </c>
      <c r="N928">
        <v>6</v>
      </c>
      <c r="O928">
        <v>326.86599999999999</v>
      </c>
      <c r="P928">
        <v>104.6</v>
      </c>
      <c r="Q928">
        <v>20</v>
      </c>
      <c r="R928">
        <v>2</v>
      </c>
      <c r="S928" t="s">
        <v>116</v>
      </c>
      <c r="T928">
        <v>2</v>
      </c>
      <c r="U928">
        <v>2</v>
      </c>
      <c r="V928">
        <v>1</v>
      </c>
      <c r="W928">
        <v>0</v>
      </c>
      <c r="X928">
        <v>0</v>
      </c>
      <c r="Y928" s="20">
        <f>SUM(Table1[[#This Row],[dty_type_cnt1]:[dty_type_cnt5]])</f>
        <v>5</v>
      </c>
    </row>
    <row r="929" spans="1:25" x14ac:dyDescent="0.25">
      <c r="A929" s="15">
        <v>46102</v>
      </c>
      <c r="B929" t="s">
        <v>430</v>
      </c>
      <c r="C929" t="s">
        <v>372</v>
      </c>
      <c r="D929" t="s">
        <v>49</v>
      </c>
      <c r="E929" t="s">
        <v>404</v>
      </c>
      <c r="F929" t="s">
        <v>405</v>
      </c>
      <c r="G929" t="s">
        <v>373</v>
      </c>
      <c r="H929" t="s">
        <v>374</v>
      </c>
      <c r="I929" t="s">
        <v>373</v>
      </c>
      <c r="J929" t="s">
        <v>0</v>
      </c>
      <c r="K929" t="s">
        <v>1</v>
      </c>
      <c r="L929">
        <v>27440</v>
      </c>
      <c r="M929">
        <v>55</v>
      </c>
      <c r="N929">
        <v>26</v>
      </c>
      <c r="O929">
        <v>638.68200000000002</v>
      </c>
      <c r="P929">
        <v>384.7</v>
      </c>
      <c r="Q929">
        <v>20</v>
      </c>
      <c r="R929">
        <v>7</v>
      </c>
      <c r="S929" t="s">
        <v>116</v>
      </c>
      <c r="T929">
        <v>6</v>
      </c>
      <c r="U929">
        <v>7</v>
      </c>
      <c r="V929">
        <v>0</v>
      </c>
      <c r="W929">
        <v>0</v>
      </c>
      <c r="X929">
        <v>0</v>
      </c>
      <c r="Y929" s="20">
        <f>SUM(Table1[[#This Row],[dty_type_cnt1]:[dty_type_cnt5]])</f>
        <v>13</v>
      </c>
    </row>
    <row r="930" spans="1:25" x14ac:dyDescent="0.25">
      <c r="A930" s="15">
        <v>46102</v>
      </c>
      <c r="B930" t="s">
        <v>430</v>
      </c>
      <c r="C930" t="s">
        <v>372</v>
      </c>
      <c r="D930" t="s">
        <v>49</v>
      </c>
      <c r="E930" t="s">
        <v>250</v>
      </c>
      <c r="F930" t="s">
        <v>251</v>
      </c>
      <c r="G930" t="s">
        <v>373</v>
      </c>
      <c r="H930" t="s">
        <v>374</v>
      </c>
      <c r="I930" t="s">
        <v>373</v>
      </c>
      <c r="J930" t="s">
        <v>0</v>
      </c>
      <c r="K930" t="s">
        <v>1</v>
      </c>
      <c r="L930">
        <v>27440</v>
      </c>
      <c r="M930">
        <v>12</v>
      </c>
      <c r="N930">
        <v>6</v>
      </c>
      <c r="O930">
        <v>277.63799999999998</v>
      </c>
      <c r="P930">
        <v>105.4</v>
      </c>
      <c r="Q930">
        <v>20</v>
      </c>
      <c r="R930">
        <v>2</v>
      </c>
      <c r="S930" t="s">
        <v>116</v>
      </c>
      <c r="T930">
        <v>1</v>
      </c>
      <c r="U930">
        <v>2</v>
      </c>
      <c r="V930">
        <v>0</v>
      </c>
      <c r="W930">
        <v>0</v>
      </c>
      <c r="X930">
        <v>0</v>
      </c>
      <c r="Y930" s="20">
        <f>SUM(Table1[[#This Row],[dty_type_cnt1]:[dty_type_cnt5]])</f>
        <v>3</v>
      </c>
    </row>
    <row r="931" spans="1:25" x14ac:dyDescent="0.25">
      <c r="A931" s="15">
        <v>46102</v>
      </c>
      <c r="B931" t="s">
        <v>430</v>
      </c>
      <c r="C931" t="s">
        <v>372</v>
      </c>
      <c r="D931" t="s">
        <v>49</v>
      </c>
      <c r="E931" t="s">
        <v>252</v>
      </c>
      <c r="F931" t="s">
        <v>253</v>
      </c>
      <c r="G931" t="s">
        <v>373</v>
      </c>
      <c r="H931" t="s">
        <v>374</v>
      </c>
      <c r="I931" t="s">
        <v>373</v>
      </c>
      <c r="J931" t="s">
        <v>0</v>
      </c>
      <c r="K931" t="s">
        <v>1</v>
      </c>
      <c r="L931">
        <v>27440</v>
      </c>
      <c r="M931">
        <v>14</v>
      </c>
      <c r="N931">
        <v>14</v>
      </c>
      <c r="O931">
        <v>485.73700000000002</v>
      </c>
      <c r="P931">
        <v>240.4</v>
      </c>
      <c r="Q931">
        <v>15</v>
      </c>
      <c r="R931">
        <v>4</v>
      </c>
      <c r="S931" t="s">
        <v>116</v>
      </c>
      <c r="T931">
        <v>4</v>
      </c>
      <c r="U931">
        <v>0</v>
      </c>
      <c r="V931">
        <v>3</v>
      </c>
      <c r="W931">
        <v>0</v>
      </c>
      <c r="X931">
        <v>0</v>
      </c>
      <c r="Y931" s="20">
        <f>SUM(Table1[[#This Row],[dty_type_cnt1]:[dty_type_cnt5]])</f>
        <v>7</v>
      </c>
    </row>
    <row r="932" spans="1:25" x14ac:dyDescent="0.25">
      <c r="A932" s="15">
        <v>46102</v>
      </c>
      <c r="B932" t="s">
        <v>430</v>
      </c>
      <c r="C932" t="s">
        <v>372</v>
      </c>
      <c r="D932" t="s">
        <v>49</v>
      </c>
      <c r="E932" t="s">
        <v>104</v>
      </c>
      <c r="F932" t="s">
        <v>134</v>
      </c>
      <c r="G932" t="s">
        <v>373</v>
      </c>
      <c r="H932" t="s">
        <v>374</v>
      </c>
      <c r="I932" t="s">
        <v>373</v>
      </c>
      <c r="J932" t="s">
        <v>0</v>
      </c>
      <c r="K932" t="s">
        <v>1</v>
      </c>
      <c r="L932">
        <v>27440</v>
      </c>
      <c r="M932">
        <v>78</v>
      </c>
      <c r="N932">
        <v>28</v>
      </c>
      <c r="O932">
        <v>2420.614</v>
      </c>
      <c r="P932">
        <v>558.1</v>
      </c>
      <c r="Q932">
        <v>17</v>
      </c>
      <c r="R932">
        <v>9</v>
      </c>
      <c r="S932" t="s">
        <v>116</v>
      </c>
      <c r="T932">
        <v>9</v>
      </c>
      <c r="U932">
        <v>8</v>
      </c>
      <c r="V932">
        <v>2</v>
      </c>
      <c r="W932">
        <v>0</v>
      </c>
      <c r="X932">
        <v>0</v>
      </c>
      <c r="Y932" s="20">
        <f>SUM(Table1[[#This Row],[dty_type_cnt1]:[dty_type_cnt5]])</f>
        <v>19</v>
      </c>
    </row>
    <row r="933" spans="1:25" x14ac:dyDescent="0.25">
      <c r="A933" s="15">
        <v>46102</v>
      </c>
      <c r="B933" t="s">
        <v>430</v>
      </c>
      <c r="C933" t="s">
        <v>372</v>
      </c>
      <c r="D933" t="s">
        <v>46</v>
      </c>
      <c r="E933">
        <v>10</v>
      </c>
      <c r="F933" t="s">
        <v>261</v>
      </c>
      <c r="G933" t="s">
        <v>373</v>
      </c>
      <c r="H933" t="s">
        <v>374</v>
      </c>
      <c r="I933" t="s">
        <v>373</v>
      </c>
      <c r="J933" t="s">
        <v>0</v>
      </c>
      <c r="K933" t="s">
        <v>2</v>
      </c>
      <c r="L933">
        <v>27439</v>
      </c>
      <c r="M933">
        <v>12</v>
      </c>
      <c r="N933">
        <v>2</v>
      </c>
      <c r="O933">
        <v>304.44400000000002</v>
      </c>
      <c r="P933">
        <v>60</v>
      </c>
      <c r="Q933">
        <v>30</v>
      </c>
      <c r="R933">
        <v>1</v>
      </c>
      <c r="S933" t="s">
        <v>116</v>
      </c>
      <c r="T933">
        <v>1</v>
      </c>
      <c r="U933">
        <v>1</v>
      </c>
      <c r="V933">
        <v>0</v>
      </c>
      <c r="W933">
        <v>0</v>
      </c>
      <c r="X933">
        <v>0</v>
      </c>
      <c r="Y933" s="20">
        <f>SUM(Table1[[#This Row],[dty_type_cnt1]:[dty_type_cnt5]])</f>
        <v>2</v>
      </c>
    </row>
    <row r="934" spans="1:25" x14ac:dyDescent="0.25">
      <c r="A934" s="15">
        <v>46102</v>
      </c>
      <c r="B934" t="s">
        <v>430</v>
      </c>
      <c r="C934" t="s">
        <v>372</v>
      </c>
      <c r="D934" t="s">
        <v>46</v>
      </c>
      <c r="E934" t="s">
        <v>267</v>
      </c>
      <c r="F934" t="s">
        <v>268</v>
      </c>
      <c r="G934" t="s">
        <v>373</v>
      </c>
      <c r="H934" t="s">
        <v>374</v>
      </c>
      <c r="I934" t="s">
        <v>373</v>
      </c>
      <c r="J934" t="s">
        <v>47</v>
      </c>
      <c r="K934" t="s">
        <v>2</v>
      </c>
      <c r="L934">
        <v>27439</v>
      </c>
      <c r="M934">
        <v>5</v>
      </c>
      <c r="N934">
        <v>2</v>
      </c>
      <c r="O934">
        <v>98.924999999999997</v>
      </c>
      <c r="P934">
        <v>28.25</v>
      </c>
      <c r="Q934">
        <v>0</v>
      </c>
      <c r="R934">
        <v>0</v>
      </c>
      <c r="S934" t="s">
        <v>116</v>
      </c>
      <c r="T934">
        <v>0</v>
      </c>
      <c r="U934">
        <v>0</v>
      </c>
      <c r="V934">
        <v>0</v>
      </c>
      <c r="W934">
        <v>0</v>
      </c>
      <c r="X934">
        <v>0</v>
      </c>
      <c r="Y934" s="20">
        <f>SUM(Table1[[#This Row],[dty_type_cnt1]:[dty_type_cnt5]])</f>
        <v>0</v>
      </c>
    </row>
    <row r="935" spans="1:25" x14ac:dyDescent="0.25">
      <c r="A935" s="15">
        <v>46102</v>
      </c>
      <c r="B935" t="s">
        <v>430</v>
      </c>
      <c r="C935" t="s">
        <v>372</v>
      </c>
      <c r="D935" t="s">
        <v>46</v>
      </c>
      <c r="E935" t="s">
        <v>269</v>
      </c>
      <c r="F935" t="s">
        <v>265</v>
      </c>
      <c r="G935" t="s">
        <v>373</v>
      </c>
      <c r="H935" t="s">
        <v>374</v>
      </c>
      <c r="I935" t="s">
        <v>373</v>
      </c>
      <c r="J935" t="s">
        <v>0</v>
      </c>
      <c r="K935" t="s">
        <v>2</v>
      </c>
      <c r="L935">
        <v>27439</v>
      </c>
      <c r="M935">
        <v>5</v>
      </c>
      <c r="N935">
        <v>2</v>
      </c>
      <c r="O935">
        <v>125.16500000000001</v>
      </c>
      <c r="P935">
        <v>26.25</v>
      </c>
      <c r="Q935">
        <v>140</v>
      </c>
      <c r="R935">
        <v>1</v>
      </c>
      <c r="S935" t="s">
        <v>116</v>
      </c>
      <c r="T935">
        <v>1</v>
      </c>
      <c r="U935">
        <v>1</v>
      </c>
      <c r="V935">
        <v>1</v>
      </c>
      <c r="W935">
        <v>0</v>
      </c>
      <c r="X935">
        <v>0</v>
      </c>
      <c r="Y935" s="20">
        <f>SUM(Table1[[#This Row],[dty_type_cnt1]:[dty_type_cnt5]])</f>
        <v>3</v>
      </c>
    </row>
    <row r="936" spans="1:25" x14ac:dyDescent="0.25">
      <c r="A936" s="15">
        <v>46102</v>
      </c>
      <c r="B936" t="s">
        <v>430</v>
      </c>
      <c r="C936" t="s">
        <v>372</v>
      </c>
      <c r="D936" t="s">
        <v>46</v>
      </c>
      <c r="E936">
        <v>26</v>
      </c>
      <c r="F936" t="s">
        <v>375</v>
      </c>
      <c r="G936" t="s">
        <v>373</v>
      </c>
      <c r="H936" t="s">
        <v>374</v>
      </c>
      <c r="I936" t="s">
        <v>373</v>
      </c>
      <c r="J936" t="s">
        <v>0</v>
      </c>
      <c r="K936" t="s">
        <v>2</v>
      </c>
      <c r="L936">
        <v>27439</v>
      </c>
      <c r="M936">
        <v>42</v>
      </c>
      <c r="N936">
        <v>18</v>
      </c>
      <c r="O936">
        <v>703.601</v>
      </c>
      <c r="P936">
        <v>287.7</v>
      </c>
      <c r="Q936">
        <v>20</v>
      </c>
      <c r="R936">
        <v>5</v>
      </c>
      <c r="S936" t="s">
        <v>116</v>
      </c>
      <c r="T936">
        <v>4</v>
      </c>
      <c r="U936">
        <v>4</v>
      </c>
      <c r="V936">
        <v>1</v>
      </c>
      <c r="W936">
        <v>0</v>
      </c>
      <c r="X936">
        <v>0</v>
      </c>
      <c r="Y936" s="20">
        <f>SUM(Table1[[#This Row],[dty_type_cnt1]:[dty_type_cnt5]])</f>
        <v>9</v>
      </c>
    </row>
    <row r="937" spans="1:25" x14ac:dyDescent="0.25">
      <c r="A937" s="15">
        <v>46102</v>
      </c>
      <c r="B937" t="s">
        <v>430</v>
      </c>
      <c r="C937" t="s">
        <v>372</v>
      </c>
      <c r="D937" t="s">
        <v>46</v>
      </c>
      <c r="E937">
        <v>28</v>
      </c>
      <c r="F937" t="s">
        <v>376</v>
      </c>
      <c r="G937" t="s">
        <v>373</v>
      </c>
      <c r="H937" t="s">
        <v>374</v>
      </c>
      <c r="I937" t="s">
        <v>373</v>
      </c>
      <c r="J937" t="s">
        <v>47</v>
      </c>
      <c r="K937" t="s">
        <v>2</v>
      </c>
      <c r="L937">
        <v>27439</v>
      </c>
      <c r="M937">
        <v>99</v>
      </c>
      <c r="N937">
        <v>14</v>
      </c>
      <c r="O937">
        <v>1378.2180000000001</v>
      </c>
      <c r="P937">
        <v>312.39999999999998</v>
      </c>
      <c r="Q937">
        <v>25</v>
      </c>
      <c r="R937">
        <v>7</v>
      </c>
      <c r="S937" t="s">
        <v>116</v>
      </c>
      <c r="T937">
        <v>8</v>
      </c>
      <c r="U937">
        <v>4</v>
      </c>
      <c r="V937">
        <v>5</v>
      </c>
      <c r="W937">
        <v>0</v>
      </c>
      <c r="X937">
        <v>0</v>
      </c>
      <c r="Y937" s="20">
        <f>SUM(Table1[[#This Row],[dty_type_cnt1]:[dty_type_cnt5]])</f>
        <v>17</v>
      </c>
    </row>
    <row r="938" spans="1:25" x14ac:dyDescent="0.25">
      <c r="A938" s="15">
        <v>46102</v>
      </c>
      <c r="B938" t="s">
        <v>430</v>
      </c>
      <c r="C938" t="s">
        <v>372</v>
      </c>
      <c r="D938" t="s">
        <v>46</v>
      </c>
      <c r="E938">
        <v>30</v>
      </c>
      <c r="F938" t="s">
        <v>377</v>
      </c>
      <c r="G938" t="s">
        <v>373</v>
      </c>
      <c r="H938" t="s">
        <v>374</v>
      </c>
      <c r="I938" t="s">
        <v>373</v>
      </c>
      <c r="J938" t="s">
        <v>0</v>
      </c>
      <c r="K938" t="s">
        <v>2</v>
      </c>
      <c r="L938">
        <v>27439</v>
      </c>
      <c r="M938">
        <v>28</v>
      </c>
      <c r="N938">
        <v>12</v>
      </c>
      <c r="O938">
        <v>1649.846</v>
      </c>
      <c r="P938">
        <v>189.76</v>
      </c>
      <c r="Q938">
        <v>30</v>
      </c>
      <c r="R938">
        <v>4</v>
      </c>
      <c r="S938" t="s">
        <v>116</v>
      </c>
      <c r="T938">
        <v>4</v>
      </c>
      <c r="U938">
        <v>4</v>
      </c>
      <c r="V938">
        <v>0</v>
      </c>
      <c r="W938">
        <v>0</v>
      </c>
      <c r="X938">
        <v>0</v>
      </c>
      <c r="Y938" s="20">
        <f>SUM(Table1[[#This Row],[dty_type_cnt1]:[dty_type_cnt5]])</f>
        <v>8</v>
      </c>
    </row>
    <row r="939" spans="1:25" x14ac:dyDescent="0.25">
      <c r="A939" s="15">
        <v>46102</v>
      </c>
      <c r="B939" t="s">
        <v>430</v>
      </c>
      <c r="C939" t="s">
        <v>372</v>
      </c>
      <c r="D939" t="s">
        <v>46</v>
      </c>
      <c r="E939" t="s">
        <v>236</v>
      </c>
      <c r="F939" t="s">
        <v>237</v>
      </c>
      <c r="G939" t="s">
        <v>373</v>
      </c>
      <c r="H939" t="s">
        <v>374</v>
      </c>
      <c r="I939" t="s">
        <v>373</v>
      </c>
      <c r="J939" t="s">
        <v>0</v>
      </c>
      <c r="K939" t="s">
        <v>2</v>
      </c>
      <c r="L939">
        <v>27439</v>
      </c>
      <c r="M939">
        <v>102</v>
      </c>
      <c r="N939">
        <v>20</v>
      </c>
      <c r="O939">
        <v>3146.0410000000002</v>
      </c>
      <c r="P939">
        <v>510</v>
      </c>
      <c r="Q939">
        <v>15</v>
      </c>
      <c r="R939">
        <v>10</v>
      </c>
      <c r="S939" t="s">
        <v>116</v>
      </c>
      <c r="T939">
        <v>9</v>
      </c>
      <c r="U939">
        <v>7</v>
      </c>
      <c r="V939">
        <v>2</v>
      </c>
      <c r="W939">
        <v>0</v>
      </c>
      <c r="X939">
        <v>0</v>
      </c>
      <c r="Y939" s="20">
        <f>SUM(Table1[[#This Row],[dty_type_cnt1]:[dty_type_cnt5]])</f>
        <v>18</v>
      </c>
    </row>
    <row r="940" spans="1:25" x14ac:dyDescent="0.25">
      <c r="A940" s="15">
        <v>46102</v>
      </c>
      <c r="B940" t="s">
        <v>430</v>
      </c>
      <c r="C940" t="s">
        <v>372</v>
      </c>
      <c r="D940" t="s">
        <v>46</v>
      </c>
      <c r="E940">
        <v>50</v>
      </c>
      <c r="F940" t="s">
        <v>118</v>
      </c>
      <c r="G940" t="s">
        <v>373</v>
      </c>
      <c r="H940" t="s">
        <v>374</v>
      </c>
      <c r="I940" t="s">
        <v>373</v>
      </c>
      <c r="J940" t="s">
        <v>0</v>
      </c>
      <c r="K940" t="s">
        <v>2</v>
      </c>
      <c r="L940">
        <v>27439</v>
      </c>
      <c r="M940">
        <v>38</v>
      </c>
      <c r="N940">
        <v>8</v>
      </c>
      <c r="O940">
        <v>1487.9090000000001</v>
      </c>
      <c r="P940">
        <v>203.6</v>
      </c>
      <c r="Q940">
        <v>30</v>
      </c>
      <c r="R940">
        <v>4</v>
      </c>
      <c r="S940" t="s">
        <v>116</v>
      </c>
      <c r="T940">
        <v>6</v>
      </c>
      <c r="U940">
        <v>2</v>
      </c>
      <c r="V940">
        <v>3</v>
      </c>
      <c r="W940">
        <v>0</v>
      </c>
      <c r="X940">
        <v>0</v>
      </c>
      <c r="Y940" s="20">
        <f>SUM(Table1[[#This Row],[dty_type_cnt1]:[dty_type_cnt5]])</f>
        <v>11</v>
      </c>
    </row>
    <row r="941" spans="1:25" x14ac:dyDescent="0.25">
      <c r="A941" s="15">
        <v>46102</v>
      </c>
      <c r="B941" t="s">
        <v>430</v>
      </c>
      <c r="C941" t="s">
        <v>372</v>
      </c>
      <c r="D941" t="s">
        <v>46</v>
      </c>
      <c r="E941">
        <v>55</v>
      </c>
      <c r="F941" t="s">
        <v>48</v>
      </c>
      <c r="G941" t="s">
        <v>373</v>
      </c>
      <c r="H941" t="s">
        <v>374</v>
      </c>
      <c r="I941" t="s">
        <v>373</v>
      </c>
      <c r="J941" t="s">
        <v>0</v>
      </c>
      <c r="K941" t="s">
        <v>2</v>
      </c>
      <c r="L941">
        <v>27439</v>
      </c>
      <c r="M941">
        <v>8</v>
      </c>
      <c r="N941">
        <v>2</v>
      </c>
      <c r="O941">
        <v>211.84399999999999</v>
      </c>
      <c r="P941">
        <v>51.8</v>
      </c>
      <c r="Q941">
        <v>115</v>
      </c>
      <c r="R941">
        <v>1</v>
      </c>
      <c r="S941" t="s">
        <v>116</v>
      </c>
      <c r="T941">
        <v>1</v>
      </c>
      <c r="U941">
        <v>1</v>
      </c>
      <c r="V941">
        <v>0</v>
      </c>
      <c r="W941">
        <v>0</v>
      </c>
      <c r="X941">
        <v>0</v>
      </c>
      <c r="Y941" s="20">
        <f>SUM(Table1[[#This Row],[dty_type_cnt1]:[dty_type_cnt5]])</f>
        <v>2</v>
      </c>
    </row>
    <row r="942" spans="1:25" x14ac:dyDescent="0.25">
      <c r="A942" s="15">
        <v>46102</v>
      </c>
      <c r="B942" t="s">
        <v>430</v>
      </c>
      <c r="C942" t="s">
        <v>372</v>
      </c>
      <c r="D942" t="s">
        <v>46</v>
      </c>
      <c r="E942">
        <v>61</v>
      </c>
      <c r="F942" t="s">
        <v>378</v>
      </c>
      <c r="G942" t="s">
        <v>373</v>
      </c>
      <c r="H942" t="s">
        <v>374</v>
      </c>
      <c r="I942" t="s">
        <v>373</v>
      </c>
      <c r="J942" t="s">
        <v>0</v>
      </c>
      <c r="K942" t="s">
        <v>2</v>
      </c>
      <c r="L942">
        <v>27439</v>
      </c>
      <c r="M942">
        <v>61</v>
      </c>
      <c r="N942">
        <v>16</v>
      </c>
      <c r="O942">
        <v>1653.9960000000001</v>
      </c>
      <c r="P942">
        <v>295.89999999999998</v>
      </c>
      <c r="Q942">
        <v>20</v>
      </c>
      <c r="R942">
        <v>7</v>
      </c>
      <c r="S942" t="s">
        <v>116</v>
      </c>
      <c r="T942">
        <v>7</v>
      </c>
      <c r="U942">
        <v>5</v>
      </c>
      <c r="V942">
        <v>2</v>
      </c>
      <c r="W942">
        <v>0</v>
      </c>
      <c r="X942">
        <v>0</v>
      </c>
      <c r="Y942" s="20">
        <f>SUM(Table1[[#This Row],[dty_type_cnt1]:[dty_type_cnt5]])</f>
        <v>14</v>
      </c>
    </row>
    <row r="943" spans="1:25" x14ac:dyDescent="0.25">
      <c r="A943" s="15">
        <v>46102</v>
      </c>
      <c r="B943" t="s">
        <v>430</v>
      </c>
      <c r="C943" t="s">
        <v>372</v>
      </c>
      <c r="D943" t="s">
        <v>46</v>
      </c>
      <c r="E943">
        <v>66</v>
      </c>
      <c r="F943" t="s">
        <v>379</v>
      </c>
      <c r="G943" t="s">
        <v>373</v>
      </c>
      <c r="H943" t="s">
        <v>374</v>
      </c>
      <c r="I943" t="s">
        <v>373</v>
      </c>
      <c r="J943" t="s">
        <v>171</v>
      </c>
      <c r="K943" t="s">
        <v>2</v>
      </c>
      <c r="L943">
        <v>27439</v>
      </c>
      <c r="M943">
        <v>16</v>
      </c>
      <c r="N943">
        <v>6</v>
      </c>
      <c r="O943">
        <v>1246.6479999999999</v>
      </c>
      <c r="P943">
        <v>108.5</v>
      </c>
      <c r="Q943">
        <v>90</v>
      </c>
      <c r="R943">
        <v>2</v>
      </c>
      <c r="S943" t="s">
        <v>116</v>
      </c>
      <c r="T943">
        <v>2</v>
      </c>
      <c r="U943">
        <v>2</v>
      </c>
      <c r="V943">
        <v>0</v>
      </c>
      <c r="W943">
        <v>0</v>
      </c>
      <c r="X943">
        <v>0</v>
      </c>
      <c r="Y943" s="20">
        <f>SUM(Table1[[#This Row],[dty_type_cnt1]:[dty_type_cnt5]])</f>
        <v>4</v>
      </c>
    </row>
    <row r="944" spans="1:25" x14ac:dyDescent="0.25">
      <c r="A944" s="15">
        <v>46102</v>
      </c>
      <c r="B944" t="s">
        <v>430</v>
      </c>
      <c r="C944" t="s">
        <v>372</v>
      </c>
      <c r="D944" t="s">
        <v>46</v>
      </c>
      <c r="E944">
        <v>67</v>
      </c>
      <c r="F944" t="s">
        <v>380</v>
      </c>
      <c r="G944" t="s">
        <v>373</v>
      </c>
      <c r="H944" t="s">
        <v>374</v>
      </c>
      <c r="I944" t="s">
        <v>373</v>
      </c>
      <c r="J944" t="s">
        <v>171</v>
      </c>
      <c r="K944" t="s">
        <v>2</v>
      </c>
      <c r="L944">
        <v>27439</v>
      </c>
      <c r="M944">
        <v>16</v>
      </c>
      <c r="N944">
        <v>10</v>
      </c>
      <c r="O944">
        <v>1317.664</v>
      </c>
      <c r="P944">
        <v>171.69</v>
      </c>
      <c r="Q944">
        <v>115</v>
      </c>
      <c r="R944">
        <v>3</v>
      </c>
      <c r="S944" t="s">
        <v>116</v>
      </c>
      <c r="T944">
        <v>3</v>
      </c>
      <c r="U944">
        <v>2</v>
      </c>
      <c r="V944">
        <v>0</v>
      </c>
      <c r="W944">
        <v>0</v>
      </c>
      <c r="X944">
        <v>0</v>
      </c>
      <c r="Y944" s="20">
        <f>SUM(Table1[[#This Row],[dty_type_cnt1]:[dty_type_cnt5]])</f>
        <v>5</v>
      </c>
    </row>
    <row r="945" spans="1:25" x14ac:dyDescent="0.25">
      <c r="A945" s="15">
        <v>46102</v>
      </c>
      <c r="B945" t="s">
        <v>430</v>
      </c>
      <c r="C945" t="s">
        <v>372</v>
      </c>
      <c r="D945" t="s">
        <v>46</v>
      </c>
      <c r="E945">
        <v>68</v>
      </c>
      <c r="F945" t="s">
        <v>381</v>
      </c>
      <c r="G945" t="s">
        <v>373</v>
      </c>
      <c r="H945" t="s">
        <v>374</v>
      </c>
      <c r="I945" t="s">
        <v>373</v>
      </c>
      <c r="J945" t="s">
        <v>171</v>
      </c>
      <c r="K945" t="s">
        <v>2</v>
      </c>
      <c r="L945">
        <v>27439</v>
      </c>
      <c r="M945">
        <v>4</v>
      </c>
      <c r="N945">
        <v>4</v>
      </c>
      <c r="O945">
        <v>542.15200000000004</v>
      </c>
      <c r="P945">
        <v>130.80000000000001</v>
      </c>
      <c r="Q945">
        <v>180</v>
      </c>
      <c r="R945">
        <v>1</v>
      </c>
      <c r="S945" t="s">
        <v>116</v>
      </c>
      <c r="T945">
        <v>1</v>
      </c>
      <c r="U945">
        <v>1</v>
      </c>
      <c r="V945">
        <v>0</v>
      </c>
      <c r="W945">
        <v>0</v>
      </c>
      <c r="X945">
        <v>0</v>
      </c>
      <c r="Y945" s="20">
        <f>SUM(Table1[[#This Row],[dty_type_cnt1]:[dty_type_cnt5]])</f>
        <v>2</v>
      </c>
    </row>
    <row r="946" spans="1:25" x14ac:dyDescent="0.25">
      <c r="A946" s="15">
        <v>46102</v>
      </c>
      <c r="B946" t="s">
        <v>430</v>
      </c>
      <c r="C946" t="s">
        <v>372</v>
      </c>
      <c r="D946" t="s">
        <v>46</v>
      </c>
      <c r="E946" t="s">
        <v>120</v>
      </c>
      <c r="F946" t="s">
        <v>121</v>
      </c>
      <c r="G946" t="s">
        <v>373</v>
      </c>
      <c r="H946" t="s">
        <v>374</v>
      </c>
      <c r="I946" t="s">
        <v>373</v>
      </c>
      <c r="J946" t="s">
        <v>47</v>
      </c>
      <c r="K946" t="s">
        <v>2</v>
      </c>
      <c r="L946">
        <v>27439</v>
      </c>
      <c r="M946">
        <v>84</v>
      </c>
      <c r="N946">
        <v>12</v>
      </c>
      <c r="O946">
        <v>1428.9870000000001</v>
      </c>
      <c r="P946">
        <v>310</v>
      </c>
      <c r="Q946">
        <v>20</v>
      </c>
      <c r="R946">
        <v>6</v>
      </c>
      <c r="S946" t="s">
        <v>116</v>
      </c>
      <c r="T946">
        <v>8</v>
      </c>
      <c r="U946">
        <v>4</v>
      </c>
      <c r="V946">
        <v>6</v>
      </c>
      <c r="W946">
        <v>0</v>
      </c>
      <c r="X946">
        <v>0</v>
      </c>
      <c r="Y946" s="20">
        <f>SUM(Table1[[#This Row],[dty_type_cnt1]:[dty_type_cnt5]])</f>
        <v>18</v>
      </c>
    </row>
    <row r="947" spans="1:25" x14ac:dyDescent="0.25">
      <c r="A947" s="15">
        <v>46102</v>
      </c>
      <c r="B947" t="s">
        <v>430</v>
      </c>
      <c r="C947" t="s">
        <v>372</v>
      </c>
      <c r="D947" t="s">
        <v>46</v>
      </c>
      <c r="E947" t="s">
        <v>56</v>
      </c>
      <c r="F947" t="s">
        <v>57</v>
      </c>
      <c r="G947" t="s">
        <v>373</v>
      </c>
      <c r="H947" t="s">
        <v>374</v>
      </c>
      <c r="I947" t="s">
        <v>373</v>
      </c>
      <c r="J947" t="s">
        <v>0</v>
      </c>
      <c r="K947" t="s">
        <v>2</v>
      </c>
      <c r="L947">
        <v>27439</v>
      </c>
      <c r="M947">
        <v>8</v>
      </c>
      <c r="N947">
        <v>4</v>
      </c>
      <c r="O947">
        <v>138.768</v>
      </c>
      <c r="P947">
        <v>48.8</v>
      </c>
      <c r="Q947">
        <v>30</v>
      </c>
      <c r="R947">
        <v>1</v>
      </c>
      <c r="S947" t="s">
        <v>116</v>
      </c>
      <c r="T947">
        <v>1</v>
      </c>
      <c r="U947">
        <v>0</v>
      </c>
      <c r="V947">
        <v>1</v>
      </c>
      <c r="W947">
        <v>0</v>
      </c>
      <c r="X947">
        <v>0</v>
      </c>
      <c r="Y947" s="20">
        <f>SUM(Table1[[#This Row],[dty_type_cnt1]:[dty_type_cnt5]])</f>
        <v>2</v>
      </c>
    </row>
    <row r="948" spans="1:25" x14ac:dyDescent="0.25">
      <c r="A948" s="15">
        <v>46102</v>
      </c>
      <c r="B948" t="s">
        <v>430</v>
      </c>
      <c r="C948" t="s">
        <v>372</v>
      </c>
      <c r="D948" t="s">
        <v>46</v>
      </c>
      <c r="E948" t="s">
        <v>382</v>
      </c>
      <c r="F948" t="s">
        <v>383</v>
      </c>
      <c r="G948" t="s">
        <v>373</v>
      </c>
      <c r="H948" t="s">
        <v>374</v>
      </c>
      <c r="I948" t="s">
        <v>373</v>
      </c>
      <c r="J948" t="s">
        <v>0</v>
      </c>
      <c r="K948" t="s">
        <v>2</v>
      </c>
      <c r="L948">
        <v>27439</v>
      </c>
      <c r="M948">
        <v>36</v>
      </c>
      <c r="N948">
        <v>6</v>
      </c>
      <c r="O948">
        <v>786.19</v>
      </c>
      <c r="P948">
        <v>165.7</v>
      </c>
      <c r="Q948">
        <v>30</v>
      </c>
      <c r="R948">
        <v>3</v>
      </c>
      <c r="S948" t="s">
        <v>116</v>
      </c>
      <c r="T948">
        <v>4</v>
      </c>
      <c r="U948">
        <v>2</v>
      </c>
      <c r="V948">
        <v>1</v>
      </c>
      <c r="W948">
        <v>0</v>
      </c>
      <c r="X948">
        <v>0</v>
      </c>
      <c r="Y948" s="20">
        <f>SUM(Table1[[#This Row],[dty_type_cnt1]:[dty_type_cnt5]])</f>
        <v>7</v>
      </c>
    </row>
    <row r="949" spans="1:25" x14ac:dyDescent="0.25">
      <c r="A949" s="15">
        <v>46102</v>
      </c>
      <c r="B949" t="s">
        <v>430</v>
      </c>
      <c r="C949" t="s">
        <v>372</v>
      </c>
      <c r="D949" t="s">
        <v>46</v>
      </c>
      <c r="E949" t="s">
        <v>77</v>
      </c>
      <c r="F949" t="s">
        <v>78</v>
      </c>
      <c r="G949" t="s">
        <v>373</v>
      </c>
      <c r="H949" t="s">
        <v>374</v>
      </c>
      <c r="I949" t="s">
        <v>373</v>
      </c>
      <c r="J949" t="s">
        <v>0</v>
      </c>
      <c r="K949" t="s">
        <v>2</v>
      </c>
      <c r="L949">
        <v>27439</v>
      </c>
      <c r="M949">
        <v>16</v>
      </c>
      <c r="N949">
        <v>4</v>
      </c>
      <c r="O949">
        <v>250.886</v>
      </c>
      <c r="P949">
        <v>108.8</v>
      </c>
      <c r="Q949">
        <v>30</v>
      </c>
      <c r="R949">
        <v>2</v>
      </c>
      <c r="S949" t="s">
        <v>116</v>
      </c>
      <c r="T949">
        <v>2</v>
      </c>
      <c r="U949">
        <v>1</v>
      </c>
      <c r="V949">
        <v>0</v>
      </c>
      <c r="W949">
        <v>0</v>
      </c>
      <c r="X949">
        <v>0</v>
      </c>
      <c r="Y949" s="20">
        <f>SUM(Table1[[#This Row],[dty_type_cnt1]:[dty_type_cnt5]])</f>
        <v>3</v>
      </c>
    </row>
    <row r="950" spans="1:25" x14ac:dyDescent="0.25">
      <c r="A950" s="15">
        <v>46102</v>
      </c>
      <c r="B950" t="s">
        <v>430</v>
      </c>
      <c r="C950" t="s">
        <v>372</v>
      </c>
      <c r="D950" t="s">
        <v>46</v>
      </c>
      <c r="E950" t="s">
        <v>52</v>
      </c>
      <c r="F950" t="s">
        <v>53</v>
      </c>
      <c r="G950" t="s">
        <v>373</v>
      </c>
      <c r="H950" t="s">
        <v>374</v>
      </c>
      <c r="I950" t="s">
        <v>373</v>
      </c>
      <c r="J950" t="s">
        <v>0</v>
      </c>
      <c r="K950" t="s">
        <v>2</v>
      </c>
      <c r="L950">
        <v>27439</v>
      </c>
      <c r="M950">
        <v>16</v>
      </c>
      <c r="N950">
        <v>4</v>
      </c>
      <c r="O950">
        <v>379.83600000000001</v>
      </c>
      <c r="P950">
        <v>102.2</v>
      </c>
      <c r="Q950">
        <v>16</v>
      </c>
      <c r="R950">
        <v>2</v>
      </c>
      <c r="S950" t="s">
        <v>116</v>
      </c>
      <c r="T950">
        <v>1</v>
      </c>
      <c r="U950">
        <v>2</v>
      </c>
      <c r="V950">
        <v>1</v>
      </c>
      <c r="W950">
        <v>0</v>
      </c>
      <c r="X950">
        <v>0</v>
      </c>
      <c r="Y950" s="20">
        <f>SUM(Table1[[#This Row],[dty_type_cnt1]:[dty_type_cnt5]])</f>
        <v>4</v>
      </c>
    </row>
    <row r="951" spans="1:25" x14ac:dyDescent="0.25">
      <c r="A951" s="15">
        <v>46102</v>
      </c>
      <c r="B951" t="s">
        <v>430</v>
      </c>
      <c r="C951" t="s">
        <v>372</v>
      </c>
      <c r="D951" t="s">
        <v>46</v>
      </c>
      <c r="E951" t="s">
        <v>240</v>
      </c>
      <c r="F951" t="s">
        <v>241</v>
      </c>
      <c r="G951" t="s">
        <v>373</v>
      </c>
      <c r="H951" t="s">
        <v>374</v>
      </c>
      <c r="I951" t="s">
        <v>373</v>
      </c>
      <c r="J951" t="s">
        <v>0</v>
      </c>
      <c r="K951" t="s">
        <v>2</v>
      </c>
      <c r="L951">
        <v>27439</v>
      </c>
      <c r="M951">
        <v>8</v>
      </c>
      <c r="N951">
        <v>4</v>
      </c>
      <c r="O951">
        <v>190.78399999999999</v>
      </c>
      <c r="P951">
        <v>99</v>
      </c>
      <c r="Q951">
        <v>25</v>
      </c>
      <c r="R951">
        <v>2</v>
      </c>
      <c r="S951" t="s">
        <v>116</v>
      </c>
      <c r="T951">
        <v>0</v>
      </c>
      <c r="U951">
        <v>2</v>
      </c>
      <c r="V951">
        <v>0</v>
      </c>
      <c r="W951">
        <v>0</v>
      </c>
      <c r="X951">
        <v>0</v>
      </c>
      <c r="Y951" s="20">
        <f>SUM(Table1[[#This Row],[dty_type_cnt1]:[dty_type_cnt5]])</f>
        <v>2</v>
      </c>
    </row>
    <row r="952" spans="1:25" x14ac:dyDescent="0.25">
      <c r="A952" s="15">
        <v>46102</v>
      </c>
      <c r="B952" t="s">
        <v>430</v>
      </c>
      <c r="C952" t="s">
        <v>372</v>
      </c>
      <c r="D952" t="s">
        <v>55</v>
      </c>
      <c r="E952" t="s">
        <v>384</v>
      </c>
      <c r="F952" t="s">
        <v>385</v>
      </c>
      <c r="G952" t="s">
        <v>373</v>
      </c>
      <c r="H952" t="s">
        <v>374</v>
      </c>
      <c r="I952" t="s">
        <v>373</v>
      </c>
      <c r="J952" t="s">
        <v>171</v>
      </c>
      <c r="K952" t="s">
        <v>2</v>
      </c>
      <c r="L952">
        <v>27439</v>
      </c>
      <c r="M952">
        <v>16</v>
      </c>
      <c r="N952">
        <v>4</v>
      </c>
      <c r="O952">
        <v>165.792</v>
      </c>
      <c r="P952">
        <v>61.6</v>
      </c>
      <c r="Q952">
        <v>37</v>
      </c>
      <c r="R952">
        <v>1</v>
      </c>
      <c r="S952" t="s">
        <v>116</v>
      </c>
      <c r="T952">
        <v>1</v>
      </c>
      <c r="U952">
        <v>1</v>
      </c>
      <c r="V952">
        <v>0</v>
      </c>
      <c r="W952">
        <v>0</v>
      </c>
      <c r="X952">
        <v>0</v>
      </c>
      <c r="Y952" s="20">
        <f>SUM(Table1[[#This Row],[dty_type_cnt1]:[dty_type_cnt5]])</f>
        <v>2</v>
      </c>
    </row>
    <row r="953" spans="1:25" x14ac:dyDescent="0.25">
      <c r="A953" s="15">
        <v>46102</v>
      </c>
      <c r="B953" t="s">
        <v>430</v>
      </c>
      <c r="C953" t="s">
        <v>372</v>
      </c>
      <c r="D953" t="s">
        <v>54</v>
      </c>
      <c r="E953" t="s">
        <v>386</v>
      </c>
      <c r="F953" t="s">
        <v>387</v>
      </c>
      <c r="G953" t="s">
        <v>373</v>
      </c>
      <c r="H953" t="s">
        <v>374</v>
      </c>
      <c r="I953" t="s">
        <v>373</v>
      </c>
      <c r="J953" t="s">
        <v>47</v>
      </c>
      <c r="K953" t="s">
        <v>2</v>
      </c>
      <c r="L953">
        <v>27439</v>
      </c>
      <c r="M953">
        <v>50</v>
      </c>
      <c r="N953">
        <v>6</v>
      </c>
      <c r="O953">
        <v>478.05900000000003</v>
      </c>
      <c r="P953">
        <v>147.19999999999999</v>
      </c>
      <c r="Q953">
        <v>20</v>
      </c>
      <c r="R953">
        <v>2</v>
      </c>
      <c r="S953" t="s">
        <v>116</v>
      </c>
      <c r="T953">
        <v>3</v>
      </c>
      <c r="U953">
        <v>2</v>
      </c>
      <c r="V953">
        <v>2</v>
      </c>
      <c r="W953">
        <v>0</v>
      </c>
      <c r="X953">
        <v>0</v>
      </c>
      <c r="Y953" s="20">
        <f>SUM(Table1[[#This Row],[dty_type_cnt1]:[dty_type_cnt5]])</f>
        <v>7</v>
      </c>
    </row>
    <row r="954" spans="1:25" x14ac:dyDescent="0.25">
      <c r="A954" s="15">
        <v>46102</v>
      </c>
      <c r="B954" t="s">
        <v>430</v>
      </c>
      <c r="C954" t="s">
        <v>372</v>
      </c>
      <c r="D954" t="s">
        <v>54</v>
      </c>
      <c r="E954" t="s">
        <v>388</v>
      </c>
      <c r="F954" t="s">
        <v>389</v>
      </c>
      <c r="G954" t="s">
        <v>373</v>
      </c>
      <c r="H954" t="s">
        <v>374</v>
      </c>
      <c r="I954" t="s">
        <v>373</v>
      </c>
      <c r="J954" t="s">
        <v>0</v>
      </c>
      <c r="K954" t="s">
        <v>2</v>
      </c>
      <c r="L954">
        <v>27439</v>
      </c>
      <c r="M954">
        <v>87</v>
      </c>
      <c r="N954">
        <v>10</v>
      </c>
      <c r="O954">
        <v>558.45299999999997</v>
      </c>
      <c r="P954">
        <v>196.8</v>
      </c>
      <c r="Q954">
        <v>10</v>
      </c>
      <c r="R954">
        <v>4</v>
      </c>
      <c r="S954" t="s">
        <v>116</v>
      </c>
      <c r="T954">
        <v>3</v>
      </c>
      <c r="U954">
        <v>3</v>
      </c>
      <c r="V954">
        <v>1</v>
      </c>
      <c r="W954">
        <v>0</v>
      </c>
      <c r="X954">
        <v>0</v>
      </c>
      <c r="Y954" s="20">
        <f>SUM(Table1[[#This Row],[dty_type_cnt1]:[dty_type_cnt5]])</f>
        <v>7</v>
      </c>
    </row>
    <row r="955" spans="1:25" x14ac:dyDescent="0.25">
      <c r="A955" s="15">
        <v>46102</v>
      </c>
      <c r="B955" t="s">
        <v>430</v>
      </c>
      <c r="C955" t="s">
        <v>372</v>
      </c>
      <c r="D955" t="s">
        <v>54</v>
      </c>
      <c r="E955" t="s">
        <v>390</v>
      </c>
      <c r="F955" t="s">
        <v>391</v>
      </c>
      <c r="G955" t="s">
        <v>373</v>
      </c>
      <c r="H955" t="s">
        <v>374</v>
      </c>
      <c r="I955" t="s">
        <v>373</v>
      </c>
      <c r="J955" t="s">
        <v>47</v>
      </c>
      <c r="K955" t="s">
        <v>2</v>
      </c>
      <c r="L955">
        <v>27439</v>
      </c>
      <c r="M955">
        <v>55</v>
      </c>
      <c r="N955">
        <v>16</v>
      </c>
      <c r="O955">
        <v>670.94500000000005</v>
      </c>
      <c r="P955">
        <v>253.2</v>
      </c>
      <c r="Q955">
        <v>12</v>
      </c>
      <c r="R955">
        <v>4</v>
      </c>
      <c r="S955" t="s">
        <v>116</v>
      </c>
      <c r="T955">
        <v>4</v>
      </c>
      <c r="U955">
        <v>3</v>
      </c>
      <c r="V955">
        <v>1</v>
      </c>
      <c r="W955">
        <v>0</v>
      </c>
      <c r="X955">
        <v>0</v>
      </c>
      <c r="Y955" s="20">
        <f>SUM(Table1[[#This Row],[dty_type_cnt1]:[dty_type_cnt5]])</f>
        <v>8</v>
      </c>
    </row>
    <row r="956" spans="1:25" x14ac:dyDescent="0.25">
      <c r="A956" s="15">
        <v>46102</v>
      </c>
      <c r="B956" t="s">
        <v>430</v>
      </c>
      <c r="C956" t="s">
        <v>372</v>
      </c>
      <c r="D956" t="s">
        <v>54</v>
      </c>
      <c r="E956" t="s">
        <v>394</v>
      </c>
      <c r="F956" t="s">
        <v>395</v>
      </c>
      <c r="G956" t="s">
        <v>373</v>
      </c>
      <c r="H956" t="s">
        <v>374</v>
      </c>
      <c r="I956" t="s">
        <v>373</v>
      </c>
      <c r="J956" t="s">
        <v>47</v>
      </c>
      <c r="K956" t="s">
        <v>2</v>
      </c>
      <c r="L956">
        <v>27439</v>
      </c>
      <c r="M956">
        <v>36</v>
      </c>
      <c r="N956">
        <v>5</v>
      </c>
      <c r="O956">
        <v>413.40800000000002</v>
      </c>
      <c r="P956">
        <v>119.9</v>
      </c>
      <c r="Q956">
        <v>20</v>
      </c>
      <c r="R956">
        <v>3</v>
      </c>
      <c r="S956" t="s">
        <v>116</v>
      </c>
      <c r="T956">
        <v>4</v>
      </c>
      <c r="U956">
        <v>3</v>
      </c>
      <c r="V956">
        <v>0</v>
      </c>
      <c r="W956">
        <v>0</v>
      </c>
      <c r="X956">
        <v>0</v>
      </c>
      <c r="Y956" s="20">
        <f>SUM(Table1[[#This Row],[dty_type_cnt1]:[dty_type_cnt5]])</f>
        <v>7</v>
      </c>
    </row>
    <row r="957" spans="1:25" x14ac:dyDescent="0.25">
      <c r="A957" s="15">
        <v>46102</v>
      </c>
      <c r="B957" t="s">
        <v>430</v>
      </c>
      <c r="C957" t="s">
        <v>372</v>
      </c>
      <c r="D957" t="s">
        <v>54</v>
      </c>
      <c r="E957" t="s">
        <v>396</v>
      </c>
      <c r="F957" t="s">
        <v>397</v>
      </c>
      <c r="G957" t="s">
        <v>373</v>
      </c>
      <c r="H957" t="s">
        <v>374</v>
      </c>
      <c r="I957" t="s">
        <v>373</v>
      </c>
      <c r="J957" t="s">
        <v>47</v>
      </c>
      <c r="K957" t="s">
        <v>2</v>
      </c>
      <c r="L957">
        <v>27439</v>
      </c>
      <c r="M957">
        <v>36</v>
      </c>
      <c r="N957">
        <v>5</v>
      </c>
      <c r="O957">
        <v>427.68</v>
      </c>
      <c r="P957">
        <v>105.1</v>
      </c>
      <c r="Q957">
        <v>20</v>
      </c>
      <c r="R957">
        <v>2</v>
      </c>
      <c r="S957" t="s">
        <v>116</v>
      </c>
      <c r="T957">
        <v>1</v>
      </c>
      <c r="U957">
        <v>1</v>
      </c>
      <c r="V957">
        <v>0</v>
      </c>
      <c r="W957">
        <v>0</v>
      </c>
      <c r="X957">
        <v>0</v>
      </c>
      <c r="Y957" s="20">
        <f>SUM(Table1[[#This Row],[dty_type_cnt1]:[dty_type_cnt5]])</f>
        <v>2</v>
      </c>
    </row>
    <row r="958" spans="1:25" x14ac:dyDescent="0.25">
      <c r="A958" s="15">
        <v>46102</v>
      </c>
      <c r="B958" t="s">
        <v>430</v>
      </c>
      <c r="C958" t="s">
        <v>372</v>
      </c>
      <c r="D958" t="s">
        <v>54</v>
      </c>
      <c r="E958" t="s">
        <v>398</v>
      </c>
      <c r="F958" t="s">
        <v>399</v>
      </c>
      <c r="G958" t="s">
        <v>373</v>
      </c>
      <c r="H958" t="s">
        <v>374</v>
      </c>
      <c r="I958" t="s">
        <v>373</v>
      </c>
      <c r="J958" t="s">
        <v>47</v>
      </c>
      <c r="K958" t="s">
        <v>2</v>
      </c>
      <c r="L958">
        <v>27439</v>
      </c>
      <c r="M958">
        <v>49</v>
      </c>
      <c r="N958">
        <v>12</v>
      </c>
      <c r="O958">
        <v>1068.5930000000001</v>
      </c>
      <c r="P958">
        <v>382.3</v>
      </c>
      <c r="Q958">
        <v>20</v>
      </c>
      <c r="R958">
        <v>6</v>
      </c>
      <c r="S958" t="s">
        <v>116</v>
      </c>
      <c r="T958">
        <v>6</v>
      </c>
      <c r="U958">
        <v>5</v>
      </c>
      <c r="V958">
        <v>1</v>
      </c>
      <c r="W958">
        <v>0</v>
      </c>
      <c r="X958">
        <v>0</v>
      </c>
      <c r="Y958" s="20">
        <f>SUM(Table1[[#This Row],[dty_type_cnt1]:[dty_type_cnt5]])</f>
        <v>12</v>
      </c>
    </row>
    <row r="959" spans="1:25" x14ac:dyDescent="0.25">
      <c r="A959" s="15">
        <v>46102</v>
      </c>
      <c r="B959" t="s">
        <v>430</v>
      </c>
      <c r="C959" t="s">
        <v>372</v>
      </c>
      <c r="D959" t="s">
        <v>54</v>
      </c>
      <c r="E959" t="s">
        <v>400</v>
      </c>
      <c r="F959" t="s">
        <v>401</v>
      </c>
      <c r="G959" t="s">
        <v>373</v>
      </c>
      <c r="H959" t="s">
        <v>374</v>
      </c>
      <c r="I959" t="s">
        <v>373</v>
      </c>
      <c r="J959" t="s">
        <v>0</v>
      </c>
      <c r="K959" t="s">
        <v>2</v>
      </c>
      <c r="L959">
        <v>27439</v>
      </c>
      <c r="M959">
        <v>88</v>
      </c>
      <c r="N959">
        <v>12</v>
      </c>
      <c r="O959">
        <v>787.072</v>
      </c>
      <c r="P959">
        <v>210.8</v>
      </c>
      <c r="Q959">
        <v>7</v>
      </c>
      <c r="R959">
        <v>4</v>
      </c>
      <c r="S959" t="s">
        <v>116</v>
      </c>
      <c r="T959">
        <v>4</v>
      </c>
      <c r="U959">
        <v>2</v>
      </c>
      <c r="V959">
        <v>2</v>
      </c>
      <c r="W959">
        <v>0</v>
      </c>
      <c r="X959">
        <v>0</v>
      </c>
      <c r="Y959" s="20">
        <f>SUM(Table1[[#This Row],[dty_type_cnt1]:[dty_type_cnt5]])</f>
        <v>8</v>
      </c>
    </row>
    <row r="960" spans="1:25" x14ac:dyDescent="0.25">
      <c r="A960" s="15">
        <v>46102</v>
      </c>
      <c r="B960" t="s">
        <v>430</v>
      </c>
      <c r="C960" t="s">
        <v>372</v>
      </c>
      <c r="D960" t="s">
        <v>54</v>
      </c>
      <c r="E960" t="s">
        <v>402</v>
      </c>
      <c r="F960" t="s">
        <v>403</v>
      </c>
      <c r="G960" t="s">
        <v>373</v>
      </c>
      <c r="H960" t="s">
        <v>374</v>
      </c>
      <c r="I960" t="s">
        <v>373</v>
      </c>
      <c r="J960" t="s">
        <v>47</v>
      </c>
      <c r="K960" t="s">
        <v>2</v>
      </c>
      <c r="L960">
        <v>27439</v>
      </c>
      <c r="M960">
        <v>51</v>
      </c>
      <c r="N960">
        <v>4</v>
      </c>
      <c r="O960">
        <v>314.47000000000003</v>
      </c>
      <c r="P960">
        <v>98.5</v>
      </c>
      <c r="Q960">
        <v>20</v>
      </c>
      <c r="R960">
        <v>2</v>
      </c>
      <c r="S960" t="s">
        <v>116</v>
      </c>
      <c r="T960">
        <v>3</v>
      </c>
      <c r="U960">
        <v>1</v>
      </c>
      <c r="V960">
        <v>1</v>
      </c>
      <c r="W960">
        <v>0</v>
      </c>
      <c r="X960">
        <v>0</v>
      </c>
      <c r="Y960" s="20">
        <f>SUM(Table1[[#This Row],[dty_type_cnt1]:[dty_type_cnt5]])</f>
        <v>5</v>
      </c>
    </row>
    <row r="961" spans="1:25" x14ac:dyDescent="0.25">
      <c r="A961" s="15">
        <v>46102</v>
      </c>
      <c r="B961" t="s">
        <v>430</v>
      </c>
      <c r="C961" t="s">
        <v>372</v>
      </c>
      <c r="D961" t="s">
        <v>49</v>
      </c>
      <c r="E961" t="s">
        <v>404</v>
      </c>
      <c r="F961" t="s">
        <v>405</v>
      </c>
      <c r="G961" t="s">
        <v>373</v>
      </c>
      <c r="H961" t="s">
        <v>374</v>
      </c>
      <c r="I961" t="s">
        <v>373</v>
      </c>
      <c r="J961" t="s">
        <v>0</v>
      </c>
      <c r="K961" t="s">
        <v>2</v>
      </c>
      <c r="L961">
        <v>27439</v>
      </c>
      <c r="M961">
        <v>46</v>
      </c>
      <c r="N961">
        <v>22</v>
      </c>
      <c r="O961">
        <v>534.327</v>
      </c>
      <c r="P961">
        <v>328.8</v>
      </c>
      <c r="Q961">
        <v>20</v>
      </c>
      <c r="R961">
        <v>6</v>
      </c>
      <c r="S961" t="s">
        <v>116</v>
      </c>
      <c r="T961">
        <v>5</v>
      </c>
      <c r="U961">
        <v>6</v>
      </c>
      <c r="V961">
        <v>0</v>
      </c>
      <c r="W961">
        <v>0</v>
      </c>
      <c r="X961">
        <v>0</v>
      </c>
      <c r="Y961" s="20">
        <f>SUM(Table1[[#This Row],[dty_type_cnt1]:[dty_type_cnt5]])</f>
        <v>11</v>
      </c>
    </row>
    <row r="962" spans="1:25" x14ac:dyDescent="0.25">
      <c r="A962" s="15">
        <v>46102</v>
      </c>
      <c r="B962" t="s">
        <v>430</v>
      </c>
      <c r="C962" t="s">
        <v>372</v>
      </c>
      <c r="D962" t="s">
        <v>49</v>
      </c>
      <c r="E962" t="s">
        <v>252</v>
      </c>
      <c r="F962" t="s">
        <v>253</v>
      </c>
      <c r="G962" t="s">
        <v>373</v>
      </c>
      <c r="H962" t="s">
        <v>374</v>
      </c>
      <c r="I962" t="s">
        <v>373</v>
      </c>
      <c r="J962" t="s">
        <v>0</v>
      </c>
      <c r="K962" t="s">
        <v>2</v>
      </c>
      <c r="L962">
        <v>27439</v>
      </c>
      <c r="M962">
        <v>12</v>
      </c>
      <c r="N962">
        <v>12</v>
      </c>
      <c r="O962">
        <v>416.346</v>
      </c>
      <c r="P962">
        <v>231</v>
      </c>
      <c r="Q962">
        <v>20</v>
      </c>
      <c r="R962">
        <v>4</v>
      </c>
      <c r="S962" t="s">
        <v>116</v>
      </c>
      <c r="T962">
        <v>2</v>
      </c>
      <c r="U962">
        <v>4</v>
      </c>
      <c r="V962">
        <v>0</v>
      </c>
      <c r="W962">
        <v>0</v>
      </c>
      <c r="X962">
        <v>0</v>
      </c>
      <c r="Y962" s="20">
        <f>SUM(Table1[[#This Row],[dty_type_cnt1]:[dty_type_cnt5]])</f>
        <v>6</v>
      </c>
    </row>
    <row r="963" spans="1:25" x14ac:dyDescent="0.25">
      <c r="A963" s="15">
        <v>46102</v>
      </c>
      <c r="B963" t="s">
        <v>430</v>
      </c>
      <c r="C963" t="s">
        <v>372</v>
      </c>
      <c r="D963" t="s">
        <v>49</v>
      </c>
      <c r="E963" t="s">
        <v>104</v>
      </c>
      <c r="F963" t="s">
        <v>134</v>
      </c>
      <c r="G963" t="s">
        <v>373</v>
      </c>
      <c r="H963" t="s">
        <v>374</v>
      </c>
      <c r="I963" t="s">
        <v>373</v>
      </c>
      <c r="J963" t="s">
        <v>0</v>
      </c>
      <c r="K963" t="s">
        <v>2</v>
      </c>
      <c r="L963">
        <v>27439</v>
      </c>
      <c r="M963">
        <v>76</v>
      </c>
      <c r="N963">
        <v>22</v>
      </c>
      <c r="O963">
        <v>2358.587</v>
      </c>
      <c r="P963">
        <v>352</v>
      </c>
      <c r="Q963">
        <v>19</v>
      </c>
      <c r="R963">
        <v>8</v>
      </c>
      <c r="S963" t="s">
        <v>116</v>
      </c>
      <c r="T963">
        <v>10</v>
      </c>
      <c r="U963">
        <v>6</v>
      </c>
      <c r="V963">
        <v>3</v>
      </c>
      <c r="W963">
        <v>0</v>
      </c>
      <c r="X963">
        <v>0</v>
      </c>
      <c r="Y963" s="20">
        <f>SUM(Table1[[#This Row],[dty_type_cnt1]:[dty_type_cnt5]])</f>
        <v>19</v>
      </c>
    </row>
    <row r="964" spans="1:25" x14ac:dyDescent="0.25">
      <c r="A964" s="15">
        <v>46102</v>
      </c>
      <c r="B964" t="s">
        <v>430</v>
      </c>
      <c r="C964" t="s">
        <v>372</v>
      </c>
      <c r="D964" t="s">
        <v>46</v>
      </c>
      <c r="E964" t="s">
        <v>267</v>
      </c>
      <c r="F964" t="s">
        <v>268</v>
      </c>
      <c r="G964" t="s">
        <v>373</v>
      </c>
      <c r="H964" t="s">
        <v>374</v>
      </c>
      <c r="I964" t="s">
        <v>373</v>
      </c>
      <c r="J964" t="s">
        <v>0</v>
      </c>
      <c r="K964" t="s">
        <v>45</v>
      </c>
      <c r="L964">
        <v>27441</v>
      </c>
      <c r="M964">
        <v>5</v>
      </c>
      <c r="N964">
        <v>2</v>
      </c>
      <c r="O964">
        <v>98.924999999999997</v>
      </c>
      <c r="P964">
        <v>56.4</v>
      </c>
      <c r="Q964">
        <v>0</v>
      </c>
      <c r="R964">
        <v>0</v>
      </c>
      <c r="S964" t="s">
        <v>116</v>
      </c>
      <c r="T964">
        <v>1</v>
      </c>
      <c r="U964">
        <v>1</v>
      </c>
      <c r="V964">
        <v>1</v>
      </c>
      <c r="W964">
        <v>0</v>
      </c>
      <c r="X964">
        <v>0</v>
      </c>
      <c r="Y964" s="20">
        <f>SUM(Table1[[#This Row],[dty_type_cnt1]:[dty_type_cnt5]])</f>
        <v>3</v>
      </c>
    </row>
    <row r="965" spans="1:25" x14ac:dyDescent="0.25">
      <c r="A965" s="15">
        <v>46102</v>
      </c>
      <c r="B965" t="s">
        <v>430</v>
      </c>
      <c r="C965" t="s">
        <v>372</v>
      </c>
      <c r="D965" t="s">
        <v>46</v>
      </c>
      <c r="E965" t="s">
        <v>269</v>
      </c>
      <c r="F965" t="s">
        <v>265</v>
      </c>
      <c r="G965" t="s">
        <v>373</v>
      </c>
      <c r="H965" t="s">
        <v>374</v>
      </c>
      <c r="I965" t="s">
        <v>373</v>
      </c>
      <c r="J965" t="s">
        <v>0</v>
      </c>
      <c r="K965" t="s">
        <v>45</v>
      </c>
      <c r="L965">
        <v>27441</v>
      </c>
      <c r="M965">
        <v>5</v>
      </c>
      <c r="N965">
        <v>2</v>
      </c>
      <c r="O965">
        <v>125.16500000000001</v>
      </c>
      <c r="P965">
        <v>52.4</v>
      </c>
      <c r="Q965">
        <v>20</v>
      </c>
      <c r="R965">
        <v>1</v>
      </c>
      <c r="S965" t="s">
        <v>116</v>
      </c>
      <c r="T965">
        <v>0</v>
      </c>
      <c r="U965">
        <v>0</v>
      </c>
      <c r="V965">
        <v>0</v>
      </c>
      <c r="W965">
        <v>0</v>
      </c>
      <c r="X965">
        <v>0</v>
      </c>
      <c r="Y965" s="20">
        <f>SUM(Table1[[#This Row],[dty_type_cnt1]:[dty_type_cnt5]])</f>
        <v>0</v>
      </c>
    </row>
    <row r="966" spans="1:25" x14ac:dyDescent="0.25">
      <c r="A966" s="15">
        <v>46102</v>
      </c>
      <c r="B966" t="s">
        <v>430</v>
      </c>
      <c r="C966" t="s">
        <v>372</v>
      </c>
      <c r="D966" t="s">
        <v>46</v>
      </c>
      <c r="E966">
        <v>27</v>
      </c>
      <c r="F966" t="s">
        <v>270</v>
      </c>
      <c r="G966" t="s">
        <v>373</v>
      </c>
      <c r="H966" t="s">
        <v>374</v>
      </c>
      <c r="I966" t="s">
        <v>373</v>
      </c>
      <c r="J966" t="s">
        <v>0</v>
      </c>
      <c r="K966" t="s">
        <v>45</v>
      </c>
      <c r="L966">
        <v>27441</v>
      </c>
      <c r="M966">
        <v>12</v>
      </c>
      <c r="N966">
        <v>2</v>
      </c>
      <c r="O966">
        <v>239.94</v>
      </c>
      <c r="P966">
        <v>60</v>
      </c>
      <c r="Q966">
        <v>30</v>
      </c>
      <c r="R966">
        <v>1</v>
      </c>
      <c r="S966" t="s">
        <v>116</v>
      </c>
      <c r="T966">
        <v>1</v>
      </c>
      <c r="U966">
        <v>1</v>
      </c>
      <c r="V966">
        <v>0</v>
      </c>
      <c r="W966">
        <v>0</v>
      </c>
      <c r="X966">
        <v>0</v>
      </c>
      <c r="Y966" s="20">
        <f>SUM(Table1[[#This Row],[dty_type_cnt1]:[dty_type_cnt5]])</f>
        <v>2</v>
      </c>
    </row>
    <row r="967" spans="1:25" x14ac:dyDescent="0.25">
      <c r="A967" s="15">
        <v>46102</v>
      </c>
      <c r="B967" t="s">
        <v>430</v>
      </c>
      <c r="C967" t="s">
        <v>372</v>
      </c>
      <c r="D967" t="s">
        <v>46</v>
      </c>
      <c r="E967">
        <v>28</v>
      </c>
      <c r="F967" t="s">
        <v>376</v>
      </c>
      <c r="G967" t="s">
        <v>373</v>
      </c>
      <c r="H967" t="s">
        <v>374</v>
      </c>
      <c r="I967" t="s">
        <v>373</v>
      </c>
      <c r="J967" t="s">
        <v>47</v>
      </c>
      <c r="K967" t="s">
        <v>45</v>
      </c>
      <c r="L967">
        <v>27441</v>
      </c>
      <c r="M967">
        <v>100</v>
      </c>
      <c r="N967">
        <v>14</v>
      </c>
      <c r="O967">
        <v>1393.15</v>
      </c>
      <c r="P967">
        <v>309.5</v>
      </c>
      <c r="Q967">
        <v>20</v>
      </c>
      <c r="R967">
        <v>7</v>
      </c>
      <c r="S967" t="s">
        <v>116</v>
      </c>
      <c r="T967">
        <v>7</v>
      </c>
      <c r="U967">
        <v>4</v>
      </c>
      <c r="V967">
        <v>6</v>
      </c>
      <c r="W967">
        <v>0</v>
      </c>
      <c r="X967">
        <v>0</v>
      </c>
      <c r="Y967" s="20">
        <f>SUM(Table1[[#This Row],[dty_type_cnt1]:[dty_type_cnt5]])</f>
        <v>17</v>
      </c>
    </row>
    <row r="968" spans="1:25" x14ac:dyDescent="0.25">
      <c r="A968" s="15">
        <v>46102</v>
      </c>
      <c r="B968" t="s">
        <v>430</v>
      </c>
      <c r="C968" t="s">
        <v>372</v>
      </c>
      <c r="D968" t="s">
        <v>46</v>
      </c>
      <c r="E968">
        <v>30</v>
      </c>
      <c r="F968" t="s">
        <v>377</v>
      </c>
      <c r="G968" t="s">
        <v>373</v>
      </c>
      <c r="H968" t="s">
        <v>374</v>
      </c>
      <c r="I968" t="s">
        <v>373</v>
      </c>
      <c r="J968" t="s">
        <v>0</v>
      </c>
      <c r="K968" t="s">
        <v>45</v>
      </c>
      <c r="L968">
        <v>27441</v>
      </c>
      <c r="M968">
        <v>29</v>
      </c>
      <c r="N968">
        <v>8</v>
      </c>
      <c r="O968">
        <v>1727.3230000000001</v>
      </c>
      <c r="P968">
        <v>164.08</v>
      </c>
      <c r="Q968">
        <v>30</v>
      </c>
      <c r="R968">
        <v>4</v>
      </c>
      <c r="S968" t="s">
        <v>116</v>
      </c>
      <c r="T968">
        <v>4</v>
      </c>
      <c r="U968">
        <v>2</v>
      </c>
      <c r="V968">
        <v>2</v>
      </c>
      <c r="W968">
        <v>0</v>
      </c>
      <c r="X968">
        <v>0</v>
      </c>
      <c r="Y968" s="20">
        <f>SUM(Table1[[#This Row],[dty_type_cnt1]:[dty_type_cnt5]])</f>
        <v>8</v>
      </c>
    </row>
    <row r="969" spans="1:25" x14ac:dyDescent="0.25">
      <c r="A969" s="15">
        <v>46102</v>
      </c>
      <c r="B969" t="s">
        <v>430</v>
      </c>
      <c r="C969" t="s">
        <v>372</v>
      </c>
      <c r="D969" t="s">
        <v>46</v>
      </c>
      <c r="E969" t="s">
        <v>236</v>
      </c>
      <c r="F969" t="s">
        <v>237</v>
      </c>
      <c r="G969" t="s">
        <v>373</v>
      </c>
      <c r="H969" t="s">
        <v>374</v>
      </c>
      <c r="I969" t="s">
        <v>373</v>
      </c>
      <c r="J969" t="s">
        <v>0</v>
      </c>
      <c r="K969" t="s">
        <v>45</v>
      </c>
      <c r="L969">
        <v>27441</v>
      </c>
      <c r="M969">
        <v>73</v>
      </c>
      <c r="N969">
        <v>10</v>
      </c>
      <c r="O969">
        <v>2245.328</v>
      </c>
      <c r="P969">
        <v>251.1</v>
      </c>
      <c r="Q969">
        <v>30</v>
      </c>
      <c r="R969">
        <v>5</v>
      </c>
      <c r="S969" t="s">
        <v>116</v>
      </c>
      <c r="T969">
        <v>9</v>
      </c>
      <c r="U969">
        <v>1</v>
      </c>
      <c r="V969">
        <v>4</v>
      </c>
      <c r="W969">
        <v>0</v>
      </c>
      <c r="X969">
        <v>0</v>
      </c>
      <c r="Y969" s="20">
        <f>SUM(Table1[[#This Row],[dty_type_cnt1]:[dty_type_cnt5]])</f>
        <v>14</v>
      </c>
    </row>
    <row r="970" spans="1:25" x14ac:dyDescent="0.25">
      <c r="A970" s="15">
        <v>46102</v>
      </c>
      <c r="B970" t="s">
        <v>430</v>
      </c>
      <c r="C970" t="s">
        <v>372</v>
      </c>
      <c r="D970" t="s">
        <v>46</v>
      </c>
      <c r="E970">
        <v>33</v>
      </c>
      <c r="F970" t="s">
        <v>238</v>
      </c>
      <c r="G970" t="s">
        <v>373</v>
      </c>
      <c r="H970" t="s">
        <v>374</v>
      </c>
      <c r="I970" t="s">
        <v>373</v>
      </c>
      <c r="J970" t="s">
        <v>0</v>
      </c>
      <c r="K970" t="s">
        <v>45</v>
      </c>
      <c r="L970">
        <v>27441</v>
      </c>
      <c r="M970">
        <v>10</v>
      </c>
      <c r="N970">
        <v>2</v>
      </c>
      <c r="O970">
        <v>280.55500000000001</v>
      </c>
      <c r="P970">
        <v>48.8</v>
      </c>
      <c r="Q970">
        <v>25</v>
      </c>
      <c r="R970">
        <v>1</v>
      </c>
      <c r="S970" t="s">
        <v>116</v>
      </c>
      <c r="T970">
        <v>1</v>
      </c>
      <c r="U970">
        <v>1</v>
      </c>
      <c r="V970">
        <v>0</v>
      </c>
      <c r="W970">
        <v>0</v>
      </c>
      <c r="X970">
        <v>0</v>
      </c>
      <c r="Y970" s="20">
        <f>SUM(Table1[[#This Row],[dty_type_cnt1]:[dty_type_cnt5]])</f>
        <v>2</v>
      </c>
    </row>
    <row r="971" spans="1:25" x14ac:dyDescent="0.25">
      <c r="A971" s="15">
        <v>46102</v>
      </c>
      <c r="B971" t="s">
        <v>430</v>
      </c>
      <c r="C971" t="s">
        <v>372</v>
      </c>
      <c r="D971" t="s">
        <v>46</v>
      </c>
      <c r="E971">
        <v>50</v>
      </c>
      <c r="F971" t="s">
        <v>118</v>
      </c>
      <c r="G971" t="s">
        <v>373</v>
      </c>
      <c r="H971" t="s">
        <v>374</v>
      </c>
      <c r="I971" t="s">
        <v>373</v>
      </c>
      <c r="J971" t="s">
        <v>0</v>
      </c>
      <c r="K971" t="s">
        <v>45</v>
      </c>
      <c r="L971">
        <v>27441</v>
      </c>
      <c r="M971">
        <v>20</v>
      </c>
      <c r="N971">
        <v>4</v>
      </c>
      <c r="O971">
        <v>783.11</v>
      </c>
      <c r="P971">
        <v>101.8</v>
      </c>
      <c r="Q971">
        <v>30</v>
      </c>
      <c r="R971">
        <v>2</v>
      </c>
      <c r="S971" t="s">
        <v>116</v>
      </c>
      <c r="T971">
        <v>2</v>
      </c>
      <c r="U971">
        <v>2</v>
      </c>
      <c r="V971">
        <v>2</v>
      </c>
      <c r="W971">
        <v>0</v>
      </c>
      <c r="X971">
        <v>0</v>
      </c>
      <c r="Y971" s="20">
        <f>SUM(Table1[[#This Row],[dty_type_cnt1]:[dty_type_cnt5]])</f>
        <v>6</v>
      </c>
    </row>
    <row r="972" spans="1:25" x14ac:dyDescent="0.25">
      <c r="A972" s="15">
        <v>46102</v>
      </c>
      <c r="B972" t="s">
        <v>430</v>
      </c>
      <c r="C972" t="s">
        <v>372</v>
      </c>
      <c r="D972" t="s">
        <v>46</v>
      </c>
      <c r="E972">
        <v>61</v>
      </c>
      <c r="F972" t="s">
        <v>378</v>
      </c>
      <c r="G972" t="s">
        <v>373</v>
      </c>
      <c r="H972" t="s">
        <v>374</v>
      </c>
      <c r="I972" t="s">
        <v>373</v>
      </c>
      <c r="J972" t="s">
        <v>0</v>
      </c>
      <c r="K972" t="s">
        <v>45</v>
      </c>
      <c r="L972">
        <v>27441</v>
      </c>
      <c r="M972">
        <v>60</v>
      </c>
      <c r="N972">
        <v>12</v>
      </c>
      <c r="O972">
        <v>1638.66</v>
      </c>
      <c r="P972">
        <v>208.7</v>
      </c>
      <c r="Q972">
        <v>30</v>
      </c>
      <c r="R972">
        <v>5</v>
      </c>
      <c r="S972" t="s">
        <v>116</v>
      </c>
      <c r="T972">
        <v>5</v>
      </c>
      <c r="U972">
        <v>2</v>
      </c>
      <c r="V972">
        <v>3</v>
      </c>
      <c r="W972">
        <v>0</v>
      </c>
      <c r="X972">
        <v>0</v>
      </c>
      <c r="Y972" s="20">
        <f>SUM(Table1[[#This Row],[dty_type_cnt1]:[dty_type_cnt5]])</f>
        <v>10</v>
      </c>
    </row>
    <row r="973" spans="1:25" x14ac:dyDescent="0.25">
      <c r="A973" s="15">
        <v>46102</v>
      </c>
      <c r="B973" t="s">
        <v>430</v>
      </c>
      <c r="C973" t="s">
        <v>372</v>
      </c>
      <c r="D973" t="s">
        <v>46</v>
      </c>
      <c r="E973">
        <v>66</v>
      </c>
      <c r="F973" t="s">
        <v>379</v>
      </c>
      <c r="G973" t="s">
        <v>373</v>
      </c>
      <c r="H973" t="s">
        <v>374</v>
      </c>
      <c r="I973" t="s">
        <v>373</v>
      </c>
      <c r="J973" t="s">
        <v>171</v>
      </c>
      <c r="K973" t="s">
        <v>45</v>
      </c>
      <c r="L973">
        <v>27441</v>
      </c>
      <c r="M973">
        <v>16</v>
      </c>
      <c r="N973">
        <v>4</v>
      </c>
      <c r="O973">
        <v>1246.6479999999999</v>
      </c>
      <c r="P973">
        <v>108.5</v>
      </c>
      <c r="Q973">
        <v>100</v>
      </c>
      <c r="R973">
        <v>2</v>
      </c>
      <c r="S973" t="s">
        <v>116</v>
      </c>
      <c r="T973">
        <v>2</v>
      </c>
      <c r="U973">
        <v>2</v>
      </c>
      <c r="V973">
        <v>0</v>
      </c>
      <c r="W973">
        <v>0</v>
      </c>
      <c r="X973">
        <v>0</v>
      </c>
      <c r="Y973" s="20">
        <f>SUM(Table1[[#This Row],[dty_type_cnt1]:[dty_type_cnt5]])</f>
        <v>4</v>
      </c>
    </row>
    <row r="974" spans="1:25" x14ac:dyDescent="0.25">
      <c r="A974" s="15">
        <v>46102</v>
      </c>
      <c r="B974" t="s">
        <v>430</v>
      </c>
      <c r="C974" t="s">
        <v>372</v>
      </c>
      <c r="D974" t="s">
        <v>46</v>
      </c>
      <c r="E974">
        <v>67</v>
      </c>
      <c r="F974" t="s">
        <v>380</v>
      </c>
      <c r="G974" t="s">
        <v>373</v>
      </c>
      <c r="H974" t="s">
        <v>374</v>
      </c>
      <c r="I974" t="s">
        <v>373</v>
      </c>
      <c r="J974" t="s">
        <v>171</v>
      </c>
      <c r="K974" t="s">
        <v>45</v>
      </c>
      <c r="L974">
        <v>27441</v>
      </c>
      <c r="M974">
        <v>16</v>
      </c>
      <c r="N974">
        <v>4</v>
      </c>
      <c r="O974">
        <v>1317.664</v>
      </c>
      <c r="P974">
        <v>108.8</v>
      </c>
      <c r="Q974">
        <v>90</v>
      </c>
      <c r="R974">
        <v>2</v>
      </c>
      <c r="S974" t="s">
        <v>116</v>
      </c>
      <c r="T974">
        <v>2</v>
      </c>
      <c r="U974">
        <v>2</v>
      </c>
      <c r="V974">
        <v>0</v>
      </c>
      <c r="W974">
        <v>0</v>
      </c>
      <c r="X974">
        <v>0</v>
      </c>
      <c r="Y974" s="20">
        <f>SUM(Table1[[#This Row],[dty_type_cnt1]:[dty_type_cnt5]])</f>
        <v>4</v>
      </c>
    </row>
    <row r="975" spans="1:25" x14ac:dyDescent="0.25">
      <c r="A975" s="15">
        <v>46102</v>
      </c>
      <c r="B975" t="s">
        <v>430</v>
      </c>
      <c r="C975" t="s">
        <v>372</v>
      </c>
      <c r="D975" t="s">
        <v>46</v>
      </c>
      <c r="E975">
        <v>68</v>
      </c>
      <c r="F975" t="s">
        <v>381</v>
      </c>
      <c r="G975" t="s">
        <v>373</v>
      </c>
      <c r="H975" t="s">
        <v>374</v>
      </c>
      <c r="I975" t="s">
        <v>373</v>
      </c>
      <c r="J975" t="s">
        <v>171</v>
      </c>
      <c r="K975" t="s">
        <v>45</v>
      </c>
      <c r="L975">
        <v>27441</v>
      </c>
      <c r="M975">
        <v>4</v>
      </c>
      <c r="N975">
        <v>4</v>
      </c>
      <c r="O975">
        <v>542.15200000000004</v>
      </c>
      <c r="P975">
        <v>130.80000000000001</v>
      </c>
      <c r="Q975">
        <v>180</v>
      </c>
      <c r="R975">
        <v>1</v>
      </c>
      <c r="S975" t="s">
        <v>116</v>
      </c>
      <c r="T975">
        <v>1</v>
      </c>
      <c r="U975">
        <v>1</v>
      </c>
      <c r="V975">
        <v>0</v>
      </c>
      <c r="W975">
        <v>0</v>
      </c>
      <c r="X975">
        <v>0</v>
      </c>
      <c r="Y975" s="20">
        <f>SUM(Table1[[#This Row],[dty_type_cnt1]:[dty_type_cnt5]])</f>
        <v>2</v>
      </c>
    </row>
    <row r="976" spans="1:25" x14ac:dyDescent="0.25">
      <c r="A976" s="15">
        <v>46102</v>
      </c>
      <c r="B976" t="s">
        <v>430</v>
      </c>
      <c r="C976" t="s">
        <v>372</v>
      </c>
      <c r="D976" t="s">
        <v>46</v>
      </c>
      <c r="E976">
        <v>93</v>
      </c>
      <c r="F976" t="s">
        <v>276</v>
      </c>
      <c r="G976" t="s">
        <v>373</v>
      </c>
      <c r="H976" t="s">
        <v>374</v>
      </c>
      <c r="I976" t="s">
        <v>373</v>
      </c>
      <c r="J976" t="s">
        <v>0</v>
      </c>
      <c r="K976" t="s">
        <v>45</v>
      </c>
      <c r="L976">
        <v>27441</v>
      </c>
      <c r="M976">
        <v>10</v>
      </c>
      <c r="N976">
        <v>4</v>
      </c>
      <c r="O976">
        <v>238</v>
      </c>
      <c r="P976">
        <v>108.8</v>
      </c>
      <c r="Q976">
        <v>30</v>
      </c>
      <c r="R976">
        <v>2</v>
      </c>
      <c r="S976" t="s">
        <v>116</v>
      </c>
      <c r="T976">
        <v>1</v>
      </c>
      <c r="U976">
        <v>2</v>
      </c>
      <c r="V976">
        <v>0</v>
      </c>
      <c r="W976">
        <v>0</v>
      </c>
      <c r="X976">
        <v>0</v>
      </c>
      <c r="Y976" s="20">
        <f>SUM(Table1[[#This Row],[dty_type_cnt1]:[dty_type_cnt5]])</f>
        <v>3</v>
      </c>
    </row>
    <row r="977" spans="1:25" x14ac:dyDescent="0.25">
      <c r="A977" s="15">
        <v>46102</v>
      </c>
      <c r="B977" t="s">
        <v>430</v>
      </c>
      <c r="C977" t="s">
        <v>372</v>
      </c>
      <c r="D977" t="s">
        <v>46</v>
      </c>
      <c r="E977" t="s">
        <v>120</v>
      </c>
      <c r="F977" t="s">
        <v>121</v>
      </c>
      <c r="G977" t="s">
        <v>373</v>
      </c>
      <c r="H977" t="s">
        <v>374</v>
      </c>
      <c r="I977" t="s">
        <v>373</v>
      </c>
      <c r="J977" t="s">
        <v>47</v>
      </c>
      <c r="K977" t="s">
        <v>45</v>
      </c>
      <c r="L977">
        <v>27441</v>
      </c>
      <c r="M977">
        <v>82</v>
      </c>
      <c r="N977">
        <v>12</v>
      </c>
      <c r="O977">
        <v>1394.9459999999999</v>
      </c>
      <c r="P977">
        <v>310</v>
      </c>
      <c r="Q977">
        <v>20</v>
      </c>
      <c r="R977">
        <v>6</v>
      </c>
      <c r="S977" t="s">
        <v>116</v>
      </c>
      <c r="T977">
        <v>8</v>
      </c>
      <c r="U977">
        <v>3</v>
      </c>
      <c r="V977">
        <v>6</v>
      </c>
      <c r="W977">
        <v>0</v>
      </c>
      <c r="X977">
        <v>0</v>
      </c>
      <c r="Y977" s="20">
        <f>SUM(Table1[[#This Row],[dty_type_cnt1]:[dty_type_cnt5]])</f>
        <v>17</v>
      </c>
    </row>
    <row r="978" spans="1:25" x14ac:dyDescent="0.25">
      <c r="A978" s="15">
        <v>46102</v>
      </c>
      <c r="B978" t="s">
        <v>430</v>
      </c>
      <c r="C978" t="s">
        <v>372</v>
      </c>
      <c r="D978" t="s">
        <v>46</v>
      </c>
      <c r="E978" t="s">
        <v>56</v>
      </c>
      <c r="F978" t="s">
        <v>57</v>
      </c>
      <c r="G978" t="s">
        <v>373</v>
      </c>
      <c r="H978" t="s">
        <v>374</v>
      </c>
      <c r="I978" t="s">
        <v>373</v>
      </c>
      <c r="J978" t="s">
        <v>0</v>
      </c>
      <c r="K978" t="s">
        <v>45</v>
      </c>
      <c r="L978">
        <v>27441</v>
      </c>
      <c r="M978">
        <v>36</v>
      </c>
      <c r="N978">
        <v>10</v>
      </c>
      <c r="O978">
        <v>624.45399999999995</v>
      </c>
      <c r="P978">
        <v>277.60000000000002</v>
      </c>
      <c r="Q978">
        <v>30</v>
      </c>
      <c r="R978">
        <v>5</v>
      </c>
      <c r="S978" t="s">
        <v>116</v>
      </c>
      <c r="T978">
        <v>2</v>
      </c>
      <c r="U978">
        <v>4</v>
      </c>
      <c r="V978">
        <v>1</v>
      </c>
      <c r="W978">
        <v>0</v>
      </c>
      <c r="X978">
        <v>0</v>
      </c>
      <c r="Y978" s="20">
        <f>SUM(Table1[[#This Row],[dty_type_cnt1]:[dty_type_cnt5]])</f>
        <v>7</v>
      </c>
    </row>
    <row r="979" spans="1:25" x14ac:dyDescent="0.25">
      <c r="A979" s="15">
        <v>46102</v>
      </c>
      <c r="B979" t="s">
        <v>430</v>
      </c>
      <c r="C979" t="s">
        <v>372</v>
      </c>
      <c r="D979" t="s">
        <v>46</v>
      </c>
      <c r="E979" t="s">
        <v>382</v>
      </c>
      <c r="F979" t="s">
        <v>383</v>
      </c>
      <c r="G979" t="s">
        <v>373</v>
      </c>
      <c r="H979" t="s">
        <v>374</v>
      </c>
      <c r="I979" t="s">
        <v>373</v>
      </c>
      <c r="J979" t="s">
        <v>0</v>
      </c>
      <c r="K979" t="s">
        <v>45</v>
      </c>
      <c r="L979">
        <v>27441</v>
      </c>
      <c r="M979">
        <v>58</v>
      </c>
      <c r="N979">
        <v>14</v>
      </c>
      <c r="O979">
        <v>1235.1389999999999</v>
      </c>
      <c r="P979">
        <v>289.56200000000001</v>
      </c>
      <c r="Q979">
        <v>30</v>
      </c>
      <c r="R979">
        <v>5</v>
      </c>
      <c r="S979" t="s">
        <v>116</v>
      </c>
      <c r="T979">
        <v>4</v>
      </c>
      <c r="U979">
        <v>5</v>
      </c>
      <c r="V979">
        <v>0</v>
      </c>
      <c r="W979">
        <v>0</v>
      </c>
      <c r="X979">
        <v>0</v>
      </c>
      <c r="Y979" s="20">
        <f>SUM(Table1[[#This Row],[dty_type_cnt1]:[dty_type_cnt5]])</f>
        <v>9</v>
      </c>
    </row>
    <row r="980" spans="1:25" x14ac:dyDescent="0.25">
      <c r="A980" s="15">
        <v>46102</v>
      </c>
      <c r="B980" t="s">
        <v>430</v>
      </c>
      <c r="C980" t="s">
        <v>372</v>
      </c>
      <c r="D980" t="s">
        <v>46</v>
      </c>
      <c r="E980" t="s">
        <v>77</v>
      </c>
      <c r="F980" t="s">
        <v>78</v>
      </c>
      <c r="G980" t="s">
        <v>373</v>
      </c>
      <c r="H980" t="s">
        <v>374</v>
      </c>
      <c r="I980" t="s">
        <v>373</v>
      </c>
      <c r="J980" t="s">
        <v>0</v>
      </c>
      <c r="K980" t="s">
        <v>45</v>
      </c>
      <c r="L980">
        <v>27441</v>
      </c>
      <c r="M980">
        <v>31</v>
      </c>
      <c r="N980">
        <v>10</v>
      </c>
      <c r="O980">
        <v>486.50200000000001</v>
      </c>
      <c r="P980">
        <v>167.262</v>
      </c>
      <c r="Q980">
        <v>30</v>
      </c>
      <c r="R980">
        <v>3</v>
      </c>
      <c r="S980" t="s">
        <v>116</v>
      </c>
      <c r="T980">
        <v>2</v>
      </c>
      <c r="U980">
        <v>3</v>
      </c>
      <c r="V980">
        <v>0</v>
      </c>
      <c r="W980">
        <v>0</v>
      </c>
      <c r="X980">
        <v>0</v>
      </c>
      <c r="Y980" s="20">
        <f>SUM(Table1[[#This Row],[dty_type_cnt1]:[dty_type_cnt5]])</f>
        <v>5</v>
      </c>
    </row>
    <row r="981" spans="1:25" x14ac:dyDescent="0.25">
      <c r="A981" s="15">
        <v>46102</v>
      </c>
      <c r="B981" t="s">
        <v>430</v>
      </c>
      <c r="C981" t="s">
        <v>372</v>
      </c>
      <c r="D981" t="s">
        <v>46</v>
      </c>
      <c r="E981" t="s">
        <v>50</v>
      </c>
      <c r="F981" t="s">
        <v>51</v>
      </c>
      <c r="G981" t="s">
        <v>373</v>
      </c>
      <c r="H981" t="s">
        <v>374</v>
      </c>
      <c r="I981" t="s">
        <v>373</v>
      </c>
      <c r="J981" t="s">
        <v>0</v>
      </c>
      <c r="K981" t="s">
        <v>45</v>
      </c>
      <c r="L981">
        <v>27441</v>
      </c>
      <c r="M981">
        <v>10</v>
      </c>
      <c r="N981">
        <v>2</v>
      </c>
      <c r="O981">
        <v>225.51499999999999</v>
      </c>
      <c r="P981">
        <v>51.8</v>
      </c>
      <c r="Q981">
        <v>25</v>
      </c>
      <c r="R981">
        <v>1</v>
      </c>
      <c r="S981" t="s">
        <v>116</v>
      </c>
      <c r="T981">
        <v>1</v>
      </c>
      <c r="U981">
        <v>0</v>
      </c>
      <c r="V981">
        <v>1</v>
      </c>
      <c r="W981">
        <v>0</v>
      </c>
      <c r="X981">
        <v>0</v>
      </c>
      <c r="Y981" s="20">
        <f>SUM(Table1[[#This Row],[dty_type_cnt1]:[dty_type_cnt5]])</f>
        <v>2</v>
      </c>
    </row>
    <row r="982" spans="1:25" x14ac:dyDescent="0.25">
      <c r="A982" s="15">
        <v>46102</v>
      </c>
      <c r="B982" t="s">
        <v>430</v>
      </c>
      <c r="C982" t="s">
        <v>372</v>
      </c>
      <c r="D982" t="s">
        <v>46</v>
      </c>
      <c r="E982" t="s">
        <v>52</v>
      </c>
      <c r="F982" t="s">
        <v>53</v>
      </c>
      <c r="G982" t="s">
        <v>373</v>
      </c>
      <c r="H982" t="s">
        <v>374</v>
      </c>
      <c r="I982" t="s">
        <v>373</v>
      </c>
      <c r="J982" t="s">
        <v>0</v>
      </c>
      <c r="K982" t="s">
        <v>45</v>
      </c>
      <c r="L982">
        <v>27441</v>
      </c>
      <c r="M982">
        <v>4</v>
      </c>
      <c r="N982">
        <v>2</v>
      </c>
      <c r="O982">
        <v>94.959000000000003</v>
      </c>
      <c r="P982">
        <v>51.1</v>
      </c>
      <c r="Q982">
        <v>20</v>
      </c>
      <c r="R982">
        <v>1</v>
      </c>
      <c r="S982" t="s">
        <v>116</v>
      </c>
      <c r="T982">
        <v>0</v>
      </c>
      <c r="U982">
        <v>1</v>
      </c>
      <c r="V982">
        <v>0</v>
      </c>
      <c r="W982">
        <v>0</v>
      </c>
      <c r="X982">
        <v>0</v>
      </c>
      <c r="Y982" s="20">
        <f>SUM(Table1[[#This Row],[dty_type_cnt1]:[dty_type_cnt5]])</f>
        <v>1</v>
      </c>
    </row>
    <row r="983" spans="1:25" x14ac:dyDescent="0.25">
      <c r="A983" s="15">
        <v>46102</v>
      </c>
      <c r="B983" t="s">
        <v>430</v>
      </c>
      <c r="C983" t="s">
        <v>372</v>
      </c>
      <c r="D983" t="s">
        <v>46</v>
      </c>
      <c r="E983" t="s">
        <v>240</v>
      </c>
      <c r="F983" t="s">
        <v>241</v>
      </c>
      <c r="G983" t="s">
        <v>373</v>
      </c>
      <c r="H983" t="s">
        <v>374</v>
      </c>
      <c r="I983" t="s">
        <v>373</v>
      </c>
      <c r="J983" t="s">
        <v>0</v>
      </c>
      <c r="K983" t="s">
        <v>45</v>
      </c>
      <c r="L983">
        <v>27441</v>
      </c>
      <c r="M983">
        <v>54</v>
      </c>
      <c r="N983">
        <v>16</v>
      </c>
      <c r="O983">
        <v>1287.7919999999999</v>
      </c>
      <c r="P983">
        <v>431.1</v>
      </c>
      <c r="Q983">
        <v>20</v>
      </c>
      <c r="R983">
        <v>8</v>
      </c>
      <c r="S983" t="s">
        <v>116</v>
      </c>
      <c r="T983">
        <v>3</v>
      </c>
      <c r="U983">
        <v>6</v>
      </c>
      <c r="V983">
        <v>4</v>
      </c>
      <c r="W983">
        <v>0</v>
      </c>
      <c r="X983">
        <v>0</v>
      </c>
      <c r="Y983" s="20">
        <f>SUM(Table1[[#This Row],[dty_type_cnt1]:[dty_type_cnt5]])</f>
        <v>13</v>
      </c>
    </row>
    <row r="984" spans="1:25" x14ac:dyDescent="0.25">
      <c r="A984" s="15">
        <v>46102</v>
      </c>
      <c r="B984" t="s">
        <v>430</v>
      </c>
      <c r="C984" t="s">
        <v>372</v>
      </c>
      <c r="D984" t="s">
        <v>54</v>
      </c>
      <c r="E984" t="s">
        <v>386</v>
      </c>
      <c r="F984" t="s">
        <v>387</v>
      </c>
      <c r="G984" t="s">
        <v>373</v>
      </c>
      <c r="H984" t="s">
        <v>374</v>
      </c>
      <c r="I984" t="s">
        <v>373</v>
      </c>
      <c r="J984" t="s">
        <v>47</v>
      </c>
      <c r="K984" t="s">
        <v>45</v>
      </c>
      <c r="L984">
        <v>27441</v>
      </c>
      <c r="M984">
        <v>37</v>
      </c>
      <c r="N984">
        <v>6</v>
      </c>
      <c r="O984">
        <v>351.22699999999998</v>
      </c>
      <c r="P984">
        <v>165.6</v>
      </c>
      <c r="Q984">
        <v>21</v>
      </c>
      <c r="R984">
        <v>3</v>
      </c>
      <c r="S984" t="s">
        <v>116</v>
      </c>
      <c r="T984">
        <v>2</v>
      </c>
      <c r="U984">
        <v>2</v>
      </c>
      <c r="V984">
        <v>0</v>
      </c>
      <c r="W984">
        <v>0</v>
      </c>
      <c r="X984">
        <v>0</v>
      </c>
      <c r="Y984" s="20">
        <f>SUM(Table1[[#This Row],[dty_type_cnt1]:[dty_type_cnt5]])</f>
        <v>4</v>
      </c>
    </row>
    <row r="985" spans="1:25" x14ac:dyDescent="0.25">
      <c r="A985" s="15">
        <v>46102</v>
      </c>
      <c r="B985" t="s">
        <v>430</v>
      </c>
      <c r="C985" t="s">
        <v>372</v>
      </c>
      <c r="D985" t="s">
        <v>54</v>
      </c>
      <c r="E985" t="s">
        <v>388</v>
      </c>
      <c r="F985" t="s">
        <v>389</v>
      </c>
      <c r="G985" t="s">
        <v>373</v>
      </c>
      <c r="H985" t="s">
        <v>374</v>
      </c>
      <c r="I985" t="s">
        <v>373</v>
      </c>
      <c r="J985" t="s">
        <v>0</v>
      </c>
      <c r="K985" t="s">
        <v>45</v>
      </c>
      <c r="L985">
        <v>27441</v>
      </c>
      <c r="M985">
        <v>67</v>
      </c>
      <c r="N985">
        <v>6</v>
      </c>
      <c r="O985">
        <v>430.07299999999998</v>
      </c>
      <c r="P985">
        <v>141.6</v>
      </c>
      <c r="Q985">
        <v>15</v>
      </c>
      <c r="R985">
        <v>3</v>
      </c>
      <c r="S985" t="s">
        <v>116</v>
      </c>
      <c r="T985">
        <v>2</v>
      </c>
      <c r="U985">
        <v>2</v>
      </c>
      <c r="V985">
        <v>2</v>
      </c>
      <c r="W985">
        <v>0</v>
      </c>
      <c r="X985">
        <v>0</v>
      </c>
      <c r="Y985" s="20">
        <f>SUM(Table1[[#This Row],[dty_type_cnt1]:[dty_type_cnt5]])</f>
        <v>6</v>
      </c>
    </row>
    <row r="986" spans="1:25" x14ac:dyDescent="0.25">
      <c r="A986" s="15">
        <v>46103</v>
      </c>
      <c r="B986" t="s">
        <v>430</v>
      </c>
      <c r="C986" t="s">
        <v>372</v>
      </c>
      <c r="D986" t="s">
        <v>54</v>
      </c>
      <c r="E986" t="s">
        <v>398</v>
      </c>
      <c r="F986" t="s">
        <v>399</v>
      </c>
      <c r="G986" t="s">
        <v>373</v>
      </c>
      <c r="H986" t="s">
        <v>374</v>
      </c>
      <c r="I986" t="s">
        <v>373</v>
      </c>
      <c r="J986" t="s">
        <v>47</v>
      </c>
      <c r="K986" t="s">
        <v>45</v>
      </c>
      <c r="L986">
        <v>27441</v>
      </c>
      <c r="M986">
        <v>38</v>
      </c>
      <c r="N986">
        <v>8</v>
      </c>
      <c r="O986">
        <v>835.58199999999999</v>
      </c>
      <c r="P986">
        <v>255.6</v>
      </c>
      <c r="Q986">
        <v>25</v>
      </c>
      <c r="R986">
        <v>4</v>
      </c>
      <c r="S986" t="s">
        <v>116</v>
      </c>
      <c r="T986">
        <v>4</v>
      </c>
      <c r="U986">
        <v>3</v>
      </c>
      <c r="V986">
        <v>1</v>
      </c>
      <c r="W986">
        <v>0</v>
      </c>
      <c r="X986">
        <v>0</v>
      </c>
      <c r="Y986" s="20">
        <f>SUM(Table1[[#This Row],[dty_type_cnt1]:[dty_type_cnt5]])</f>
        <v>8</v>
      </c>
    </row>
    <row r="987" spans="1:25" x14ac:dyDescent="0.25">
      <c r="A987" s="15">
        <v>46103</v>
      </c>
      <c r="B987" t="s">
        <v>430</v>
      </c>
      <c r="C987" t="s">
        <v>372</v>
      </c>
      <c r="D987" t="s">
        <v>54</v>
      </c>
      <c r="E987" t="s">
        <v>400</v>
      </c>
      <c r="F987" t="s">
        <v>401</v>
      </c>
      <c r="G987" t="s">
        <v>373</v>
      </c>
      <c r="H987" t="s">
        <v>374</v>
      </c>
      <c r="I987" t="s">
        <v>373</v>
      </c>
      <c r="J987" t="s">
        <v>0</v>
      </c>
      <c r="K987" t="s">
        <v>45</v>
      </c>
      <c r="L987">
        <v>27441</v>
      </c>
      <c r="M987">
        <v>61</v>
      </c>
      <c r="N987">
        <v>10</v>
      </c>
      <c r="O987">
        <v>545.58399999999995</v>
      </c>
      <c r="P987">
        <v>159</v>
      </c>
      <c r="Q987">
        <v>10</v>
      </c>
      <c r="R987">
        <v>3</v>
      </c>
      <c r="S987" t="s">
        <v>116</v>
      </c>
      <c r="T987">
        <v>3</v>
      </c>
      <c r="U987">
        <v>1</v>
      </c>
      <c r="V987">
        <v>2</v>
      </c>
      <c r="W987">
        <v>0</v>
      </c>
      <c r="X987">
        <v>0</v>
      </c>
      <c r="Y987" s="20">
        <f>SUM(Table1[[#This Row],[dty_type_cnt1]:[dty_type_cnt5]])</f>
        <v>6</v>
      </c>
    </row>
    <row r="988" spans="1:25" x14ac:dyDescent="0.25">
      <c r="A988" s="15">
        <v>46103</v>
      </c>
      <c r="B988" t="s">
        <v>430</v>
      </c>
      <c r="C988" t="s">
        <v>372</v>
      </c>
      <c r="D988" t="s">
        <v>54</v>
      </c>
      <c r="E988" t="s">
        <v>402</v>
      </c>
      <c r="F988" t="s">
        <v>403</v>
      </c>
      <c r="G988" t="s">
        <v>373</v>
      </c>
      <c r="H988" t="s">
        <v>374</v>
      </c>
      <c r="I988" t="s">
        <v>373</v>
      </c>
      <c r="J988" t="s">
        <v>47</v>
      </c>
      <c r="K988" t="s">
        <v>45</v>
      </c>
      <c r="L988">
        <v>27441</v>
      </c>
      <c r="M988">
        <v>33</v>
      </c>
      <c r="N988">
        <v>4</v>
      </c>
      <c r="O988">
        <v>204.53399999999999</v>
      </c>
      <c r="P988">
        <v>98.6</v>
      </c>
      <c r="Q988">
        <v>32</v>
      </c>
      <c r="R988">
        <v>2</v>
      </c>
      <c r="S988" t="s">
        <v>116</v>
      </c>
      <c r="T988">
        <v>1</v>
      </c>
      <c r="U988">
        <v>1</v>
      </c>
      <c r="V988">
        <v>1</v>
      </c>
      <c r="W988">
        <v>0</v>
      </c>
      <c r="X988">
        <v>0</v>
      </c>
      <c r="Y988" s="20">
        <f>SUM(Table1[[#This Row],[dty_type_cnt1]:[dty_type_cnt5]])</f>
        <v>3</v>
      </c>
    </row>
    <row r="989" spans="1:25" x14ac:dyDescent="0.25">
      <c r="A989" s="15">
        <v>46103</v>
      </c>
      <c r="B989" t="s">
        <v>430</v>
      </c>
      <c r="C989" t="s">
        <v>372</v>
      </c>
      <c r="D989" t="s">
        <v>49</v>
      </c>
      <c r="E989" t="s">
        <v>404</v>
      </c>
      <c r="F989" t="s">
        <v>405</v>
      </c>
      <c r="G989" t="s">
        <v>373</v>
      </c>
      <c r="H989" t="s">
        <v>374</v>
      </c>
      <c r="I989" t="s">
        <v>373</v>
      </c>
      <c r="J989" t="s">
        <v>0</v>
      </c>
      <c r="K989" t="s">
        <v>45</v>
      </c>
      <c r="L989">
        <v>27441</v>
      </c>
      <c r="M989">
        <v>36</v>
      </c>
      <c r="N989">
        <v>16</v>
      </c>
      <c r="O989">
        <v>418.16899999999998</v>
      </c>
      <c r="P989">
        <v>220.4</v>
      </c>
      <c r="Q989">
        <v>25</v>
      </c>
      <c r="R989">
        <v>4</v>
      </c>
      <c r="S989" t="s">
        <v>116</v>
      </c>
      <c r="T989">
        <v>4</v>
      </c>
      <c r="U989">
        <v>4</v>
      </c>
      <c r="V989">
        <v>0</v>
      </c>
      <c r="W989">
        <v>0</v>
      </c>
      <c r="X989">
        <v>0</v>
      </c>
      <c r="Y989" s="20">
        <f>SUM(Table1[[#This Row],[dty_type_cnt1]:[dty_type_cnt5]])</f>
        <v>8</v>
      </c>
    </row>
    <row r="990" spans="1:25" x14ac:dyDescent="0.25">
      <c r="A990" s="15">
        <v>46103</v>
      </c>
      <c r="B990" t="s">
        <v>430</v>
      </c>
      <c r="C990" t="s">
        <v>372</v>
      </c>
      <c r="D990" t="s">
        <v>49</v>
      </c>
      <c r="E990" t="s">
        <v>250</v>
      </c>
      <c r="F990" t="s">
        <v>251</v>
      </c>
      <c r="G990" t="s">
        <v>373</v>
      </c>
      <c r="H990" t="s">
        <v>374</v>
      </c>
      <c r="I990" t="s">
        <v>373</v>
      </c>
      <c r="J990" t="s">
        <v>0</v>
      </c>
      <c r="K990" t="s">
        <v>45</v>
      </c>
      <c r="L990">
        <v>27441</v>
      </c>
      <c r="M990">
        <v>7</v>
      </c>
      <c r="N990">
        <v>1</v>
      </c>
      <c r="O990">
        <v>161.17400000000001</v>
      </c>
      <c r="P990">
        <v>25</v>
      </c>
      <c r="Q990">
        <v>60</v>
      </c>
      <c r="R990">
        <v>1</v>
      </c>
      <c r="S990" t="s">
        <v>116</v>
      </c>
      <c r="T990">
        <v>1</v>
      </c>
      <c r="U990">
        <v>1</v>
      </c>
      <c r="V990">
        <v>0</v>
      </c>
      <c r="W990">
        <v>0</v>
      </c>
      <c r="X990">
        <v>0</v>
      </c>
      <c r="Y990" s="20">
        <f>SUM(Table1[[#This Row],[dty_type_cnt1]:[dty_type_cnt5]])</f>
        <v>2</v>
      </c>
    </row>
    <row r="991" spans="1:25" x14ac:dyDescent="0.25">
      <c r="A991" s="15">
        <v>46103</v>
      </c>
      <c r="B991" t="s">
        <v>430</v>
      </c>
      <c r="C991" t="s">
        <v>372</v>
      </c>
      <c r="D991" t="s">
        <v>49</v>
      </c>
      <c r="E991" t="s">
        <v>104</v>
      </c>
      <c r="F991" t="s">
        <v>134</v>
      </c>
      <c r="G991" t="s">
        <v>373</v>
      </c>
      <c r="H991" t="s">
        <v>374</v>
      </c>
      <c r="I991" t="s">
        <v>373</v>
      </c>
      <c r="J991" t="s">
        <v>0</v>
      </c>
      <c r="K991" t="s">
        <v>45</v>
      </c>
      <c r="L991">
        <v>27441</v>
      </c>
      <c r="M991">
        <v>8</v>
      </c>
      <c r="N991">
        <v>2</v>
      </c>
      <c r="O991">
        <v>248.11099999999999</v>
      </c>
      <c r="P991">
        <v>54.4</v>
      </c>
      <c r="Q991">
        <v>25</v>
      </c>
      <c r="R991">
        <v>1</v>
      </c>
      <c r="S991" t="s">
        <v>116</v>
      </c>
      <c r="T991">
        <v>1</v>
      </c>
      <c r="U991">
        <v>0</v>
      </c>
      <c r="V991">
        <v>1</v>
      </c>
      <c r="W991">
        <v>0</v>
      </c>
      <c r="X991">
        <v>0</v>
      </c>
      <c r="Y991" s="20">
        <f>SUM(Table1[[#This Row],[dty_type_cnt1]:[dty_type_cnt5]])</f>
        <v>2</v>
      </c>
    </row>
    <row r="992" spans="1:25" x14ac:dyDescent="0.25">
      <c r="A992" s="15">
        <v>46103</v>
      </c>
      <c r="B992" t="s">
        <v>430</v>
      </c>
      <c r="C992" t="s">
        <v>372</v>
      </c>
      <c r="D992" t="s">
        <v>49</v>
      </c>
      <c r="E992" t="s">
        <v>254</v>
      </c>
      <c r="F992" t="s">
        <v>255</v>
      </c>
      <c r="G992" t="s">
        <v>373</v>
      </c>
      <c r="H992" t="s">
        <v>374</v>
      </c>
      <c r="I992" t="s">
        <v>373</v>
      </c>
      <c r="J992" t="s">
        <v>0</v>
      </c>
      <c r="K992" t="s">
        <v>45</v>
      </c>
      <c r="L992">
        <v>27441</v>
      </c>
      <c r="M992">
        <v>1</v>
      </c>
      <c r="N992">
        <v>1</v>
      </c>
      <c r="O992">
        <v>29.957000000000001</v>
      </c>
      <c r="P992">
        <v>26.5</v>
      </c>
      <c r="Q992">
        <v>0</v>
      </c>
      <c r="R992">
        <v>0</v>
      </c>
      <c r="S992" t="s">
        <v>116</v>
      </c>
      <c r="T992">
        <v>0</v>
      </c>
      <c r="U992">
        <v>0</v>
      </c>
      <c r="V992">
        <v>0</v>
      </c>
      <c r="W992">
        <v>0</v>
      </c>
      <c r="X992">
        <v>0</v>
      </c>
      <c r="Y992" s="20">
        <f>SUM(Table1[[#This Row],[dty_type_cnt1]:[dty_type_cnt5]])</f>
        <v>0</v>
      </c>
    </row>
    <row r="993" spans="1:25" x14ac:dyDescent="0.25">
      <c r="A993" s="15">
        <v>46103</v>
      </c>
      <c r="B993" t="s">
        <v>430</v>
      </c>
      <c r="C993" t="s">
        <v>372</v>
      </c>
      <c r="D993" t="s">
        <v>46</v>
      </c>
      <c r="E993">
        <v>14</v>
      </c>
      <c r="F993" t="s">
        <v>317</v>
      </c>
      <c r="G993" t="s">
        <v>373</v>
      </c>
      <c r="H993" t="s">
        <v>374</v>
      </c>
      <c r="I993" t="s">
        <v>373</v>
      </c>
      <c r="J993" t="s">
        <v>0</v>
      </c>
      <c r="K993" t="s">
        <v>59</v>
      </c>
      <c r="L993">
        <v>27442</v>
      </c>
      <c r="M993">
        <v>80</v>
      </c>
      <c r="N993">
        <v>22</v>
      </c>
      <c r="O993">
        <v>1054.7950000000001</v>
      </c>
      <c r="P993">
        <v>427.5</v>
      </c>
      <c r="Q993">
        <v>20</v>
      </c>
      <c r="R993">
        <v>8</v>
      </c>
      <c r="S993" t="s">
        <v>116</v>
      </c>
      <c r="T993">
        <v>9</v>
      </c>
      <c r="U993">
        <v>4</v>
      </c>
      <c r="V993">
        <v>3</v>
      </c>
      <c r="W993">
        <v>0</v>
      </c>
      <c r="X993">
        <v>0</v>
      </c>
      <c r="Y993" s="20">
        <f>SUM(Table1[[#This Row],[dty_type_cnt1]:[dty_type_cnt5]])</f>
        <v>16</v>
      </c>
    </row>
    <row r="994" spans="1:25" x14ac:dyDescent="0.25">
      <c r="A994" s="15">
        <v>46103</v>
      </c>
      <c r="B994" t="s">
        <v>430</v>
      </c>
      <c r="C994" t="s">
        <v>372</v>
      </c>
      <c r="D994" t="s">
        <v>46</v>
      </c>
      <c r="E994" t="s">
        <v>267</v>
      </c>
      <c r="F994" t="s">
        <v>268</v>
      </c>
      <c r="G994" t="s">
        <v>373</v>
      </c>
      <c r="H994" t="s">
        <v>374</v>
      </c>
      <c r="I994" t="s">
        <v>373</v>
      </c>
      <c r="J994" t="s">
        <v>0</v>
      </c>
      <c r="K994" t="s">
        <v>59</v>
      </c>
      <c r="L994">
        <v>27442</v>
      </c>
      <c r="M994">
        <v>10</v>
      </c>
      <c r="N994">
        <v>5</v>
      </c>
      <c r="O994">
        <v>197.85</v>
      </c>
      <c r="P994">
        <v>93</v>
      </c>
      <c r="Q994">
        <v>0</v>
      </c>
      <c r="R994">
        <v>0</v>
      </c>
      <c r="S994" t="s">
        <v>116</v>
      </c>
      <c r="T994">
        <v>0</v>
      </c>
      <c r="U994">
        <v>1</v>
      </c>
      <c r="V994">
        <v>0</v>
      </c>
      <c r="W994">
        <v>0</v>
      </c>
      <c r="X994">
        <v>0</v>
      </c>
      <c r="Y994" s="20">
        <f>SUM(Table1[[#This Row],[dty_type_cnt1]:[dty_type_cnt5]])</f>
        <v>1</v>
      </c>
    </row>
    <row r="995" spans="1:25" x14ac:dyDescent="0.25">
      <c r="A995" s="15">
        <v>46103</v>
      </c>
      <c r="B995" t="s">
        <v>430</v>
      </c>
      <c r="C995" t="s">
        <v>372</v>
      </c>
      <c r="D995" t="s">
        <v>46</v>
      </c>
      <c r="E995" t="s">
        <v>269</v>
      </c>
      <c r="F995" t="s">
        <v>265</v>
      </c>
      <c r="G995" t="s">
        <v>373</v>
      </c>
      <c r="H995" t="s">
        <v>374</v>
      </c>
      <c r="I995" t="s">
        <v>373</v>
      </c>
      <c r="J995" t="s">
        <v>0</v>
      </c>
      <c r="K995" t="s">
        <v>59</v>
      </c>
      <c r="L995">
        <v>27442</v>
      </c>
      <c r="M995">
        <v>10</v>
      </c>
      <c r="N995">
        <v>5</v>
      </c>
      <c r="O995">
        <v>250.33</v>
      </c>
      <c r="P995">
        <v>88.7</v>
      </c>
      <c r="Q995">
        <v>30</v>
      </c>
      <c r="R995">
        <v>3</v>
      </c>
      <c r="S995" t="s">
        <v>116</v>
      </c>
      <c r="T995">
        <v>3</v>
      </c>
      <c r="U995">
        <v>1</v>
      </c>
      <c r="V995">
        <v>1</v>
      </c>
      <c r="W995">
        <v>0</v>
      </c>
      <c r="X995">
        <v>0</v>
      </c>
      <c r="Y995" s="20">
        <f>SUM(Table1[[#This Row],[dty_type_cnt1]:[dty_type_cnt5]])</f>
        <v>5</v>
      </c>
    </row>
    <row r="996" spans="1:25" x14ac:dyDescent="0.25">
      <c r="A996" s="15">
        <v>46103</v>
      </c>
      <c r="B996" t="s">
        <v>430</v>
      </c>
      <c r="C996" t="s">
        <v>372</v>
      </c>
      <c r="D996" t="s">
        <v>46</v>
      </c>
      <c r="E996">
        <v>26</v>
      </c>
      <c r="F996" t="s">
        <v>375</v>
      </c>
      <c r="G996" t="s">
        <v>373</v>
      </c>
      <c r="H996" t="s">
        <v>374</v>
      </c>
      <c r="I996" t="s">
        <v>373</v>
      </c>
      <c r="J996" t="s">
        <v>0</v>
      </c>
      <c r="K996" t="s">
        <v>59</v>
      </c>
      <c r="L996">
        <v>27442</v>
      </c>
      <c r="M996">
        <v>67</v>
      </c>
      <c r="N996">
        <v>26</v>
      </c>
      <c r="O996">
        <v>1122.5920000000001</v>
      </c>
      <c r="P996">
        <v>391.35</v>
      </c>
      <c r="Q996">
        <v>15</v>
      </c>
      <c r="R996">
        <v>6</v>
      </c>
      <c r="S996" t="s">
        <v>116</v>
      </c>
      <c r="T996">
        <v>6</v>
      </c>
      <c r="U996">
        <v>6</v>
      </c>
      <c r="V996">
        <v>1</v>
      </c>
      <c r="W996">
        <v>0</v>
      </c>
      <c r="X996">
        <v>0</v>
      </c>
      <c r="Y996" s="20">
        <f>SUM(Table1[[#This Row],[dty_type_cnt1]:[dty_type_cnt5]])</f>
        <v>13</v>
      </c>
    </row>
    <row r="997" spans="1:25" x14ac:dyDescent="0.25">
      <c r="A997" s="15">
        <v>46103</v>
      </c>
      <c r="B997" t="s">
        <v>430</v>
      </c>
      <c r="C997" t="s">
        <v>372</v>
      </c>
      <c r="D997" t="s">
        <v>46</v>
      </c>
      <c r="E997">
        <v>28</v>
      </c>
      <c r="F997" t="s">
        <v>376</v>
      </c>
      <c r="G997" t="s">
        <v>373</v>
      </c>
      <c r="H997" t="s">
        <v>374</v>
      </c>
      <c r="I997" t="s">
        <v>373</v>
      </c>
      <c r="J997" t="s">
        <v>47</v>
      </c>
      <c r="K997" t="s">
        <v>59</v>
      </c>
      <c r="L997">
        <v>27442</v>
      </c>
      <c r="M997">
        <v>117</v>
      </c>
      <c r="N997">
        <v>18</v>
      </c>
      <c r="O997">
        <v>1626.9839999999999</v>
      </c>
      <c r="P997">
        <v>354.9</v>
      </c>
      <c r="Q997">
        <v>15</v>
      </c>
      <c r="R997">
        <v>8</v>
      </c>
      <c r="S997" t="s">
        <v>116</v>
      </c>
      <c r="T997">
        <v>9</v>
      </c>
      <c r="U997">
        <v>7</v>
      </c>
      <c r="V997">
        <v>4</v>
      </c>
      <c r="W997">
        <v>0</v>
      </c>
      <c r="X997">
        <v>0</v>
      </c>
      <c r="Y997" s="20">
        <f>SUM(Table1[[#This Row],[dty_type_cnt1]:[dty_type_cnt5]])</f>
        <v>20</v>
      </c>
    </row>
    <row r="998" spans="1:25" x14ac:dyDescent="0.25">
      <c r="A998" s="15">
        <v>46103</v>
      </c>
      <c r="B998" t="s">
        <v>430</v>
      </c>
      <c r="C998" t="s">
        <v>372</v>
      </c>
      <c r="D998" t="s">
        <v>46</v>
      </c>
      <c r="E998">
        <v>30</v>
      </c>
      <c r="F998" t="s">
        <v>377</v>
      </c>
      <c r="G998" t="s">
        <v>373</v>
      </c>
      <c r="H998" t="s">
        <v>374</v>
      </c>
      <c r="I998" t="s">
        <v>373</v>
      </c>
      <c r="J998" t="s">
        <v>0</v>
      </c>
      <c r="K998" t="s">
        <v>59</v>
      </c>
      <c r="L998">
        <v>27442</v>
      </c>
      <c r="M998">
        <v>36</v>
      </c>
      <c r="N998">
        <v>10</v>
      </c>
      <c r="O998">
        <v>2113.8090000000002</v>
      </c>
      <c r="P998">
        <v>181.44</v>
      </c>
      <c r="Q998">
        <v>25</v>
      </c>
      <c r="R998">
        <v>5</v>
      </c>
      <c r="S998" t="s">
        <v>116</v>
      </c>
      <c r="T998">
        <v>4</v>
      </c>
      <c r="U998">
        <v>5</v>
      </c>
      <c r="V998">
        <v>0</v>
      </c>
      <c r="W998">
        <v>0</v>
      </c>
      <c r="X998">
        <v>0</v>
      </c>
      <c r="Y998" s="20">
        <f>SUM(Table1[[#This Row],[dty_type_cnt1]:[dty_type_cnt5]])</f>
        <v>9</v>
      </c>
    </row>
    <row r="999" spans="1:25" x14ac:dyDescent="0.25">
      <c r="A999" s="15">
        <v>46103</v>
      </c>
      <c r="B999" t="s">
        <v>430</v>
      </c>
      <c r="C999" t="s">
        <v>372</v>
      </c>
      <c r="D999" t="s">
        <v>46</v>
      </c>
      <c r="E999" t="s">
        <v>236</v>
      </c>
      <c r="F999" t="s">
        <v>237</v>
      </c>
      <c r="G999" t="s">
        <v>373</v>
      </c>
      <c r="H999" t="s">
        <v>374</v>
      </c>
      <c r="I999" t="s">
        <v>373</v>
      </c>
      <c r="J999" t="s">
        <v>0</v>
      </c>
      <c r="K999" t="s">
        <v>59</v>
      </c>
      <c r="L999">
        <v>27442</v>
      </c>
      <c r="M999">
        <v>73</v>
      </c>
      <c r="N999">
        <v>20</v>
      </c>
      <c r="O999">
        <v>2260.1759999999999</v>
      </c>
      <c r="P999">
        <v>423.4</v>
      </c>
      <c r="Q999">
        <v>15</v>
      </c>
      <c r="R999">
        <v>8</v>
      </c>
      <c r="S999" t="s">
        <v>116</v>
      </c>
      <c r="T999">
        <v>8</v>
      </c>
      <c r="U999">
        <v>8</v>
      </c>
      <c r="V999">
        <v>0</v>
      </c>
      <c r="W999">
        <v>0</v>
      </c>
      <c r="X999">
        <v>0</v>
      </c>
      <c r="Y999" s="20">
        <f>SUM(Table1[[#This Row],[dty_type_cnt1]:[dty_type_cnt5]])</f>
        <v>16</v>
      </c>
    </row>
    <row r="1000" spans="1:25" x14ac:dyDescent="0.25">
      <c r="A1000" s="15">
        <v>46103</v>
      </c>
      <c r="B1000" t="s">
        <v>430</v>
      </c>
      <c r="C1000" t="s">
        <v>372</v>
      </c>
      <c r="D1000" t="s">
        <v>46</v>
      </c>
      <c r="E1000">
        <v>33</v>
      </c>
      <c r="F1000" t="s">
        <v>238</v>
      </c>
      <c r="G1000" t="s">
        <v>373</v>
      </c>
      <c r="H1000" t="s">
        <v>374</v>
      </c>
      <c r="I1000" t="s">
        <v>373</v>
      </c>
      <c r="J1000" t="s">
        <v>0</v>
      </c>
      <c r="K1000" t="s">
        <v>59</v>
      </c>
      <c r="L1000">
        <v>27442</v>
      </c>
      <c r="M1000">
        <v>8</v>
      </c>
      <c r="N1000">
        <v>2</v>
      </c>
      <c r="O1000">
        <v>224.44399999999999</v>
      </c>
      <c r="P1000">
        <v>48.8</v>
      </c>
      <c r="Q1000">
        <v>25</v>
      </c>
      <c r="R1000">
        <v>1</v>
      </c>
      <c r="S1000" t="s">
        <v>116</v>
      </c>
      <c r="T1000">
        <v>1</v>
      </c>
      <c r="U1000">
        <v>1</v>
      </c>
      <c r="V1000">
        <v>0</v>
      </c>
      <c r="W1000">
        <v>0</v>
      </c>
      <c r="X1000">
        <v>0</v>
      </c>
      <c r="Y1000" s="20">
        <f>SUM(Table1[[#This Row],[dty_type_cnt1]:[dty_type_cnt5]])</f>
        <v>2</v>
      </c>
    </row>
    <row r="1001" spans="1:25" x14ac:dyDescent="0.25">
      <c r="A1001" s="15">
        <v>46103</v>
      </c>
      <c r="B1001" t="s">
        <v>430</v>
      </c>
      <c r="C1001" t="s">
        <v>372</v>
      </c>
      <c r="D1001" t="s">
        <v>46</v>
      </c>
      <c r="E1001">
        <v>55</v>
      </c>
      <c r="F1001" t="s">
        <v>48</v>
      </c>
      <c r="G1001" t="s">
        <v>373</v>
      </c>
      <c r="H1001" t="s">
        <v>374</v>
      </c>
      <c r="I1001" t="s">
        <v>373</v>
      </c>
      <c r="J1001" t="s">
        <v>0</v>
      </c>
      <c r="K1001" t="s">
        <v>59</v>
      </c>
      <c r="L1001">
        <v>27442</v>
      </c>
      <c r="M1001">
        <v>10</v>
      </c>
      <c r="N1001">
        <v>4</v>
      </c>
      <c r="O1001">
        <v>264.80500000000001</v>
      </c>
      <c r="P1001">
        <v>103.6</v>
      </c>
      <c r="Q1001">
        <v>25</v>
      </c>
      <c r="R1001">
        <v>2</v>
      </c>
      <c r="S1001" t="s">
        <v>116</v>
      </c>
      <c r="T1001">
        <v>1</v>
      </c>
      <c r="U1001">
        <v>1</v>
      </c>
      <c r="V1001">
        <v>1</v>
      </c>
      <c r="W1001">
        <v>0</v>
      </c>
      <c r="X1001">
        <v>0</v>
      </c>
      <c r="Y1001" s="20">
        <f>SUM(Table1[[#This Row],[dty_type_cnt1]:[dty_type_cnt5]])</f>
        <v>3</v>
      </c>
    </row>
    <row r="1002" spans="1:25" x14ac:dyDescent="0.25">
      <c r="A1002" s="15">
        <v>46103</v>
      </c>
      <c r="B1002" t="s">
        <v>430</v>
      </c>
      <c r="C1002" t="s">
        <v>372</v>
      </c>
      <c r="D1002" t="s">
        <v>46</v>
      </c>
      <c r="E1002">
        <v>61</v>
      </c>
      <c r="F1002" t="s">
        <v>378</v>
      </c>
      <c r="G1002" t="s">
        <v>373</v>
      </c>
      <c r="H1002" t="s">
        <v>374</v>
      </c>
      <c r="I1002" t="s">
        <v>373</v>
      </c>
      <c r="J1002" t="s">
        <v>0</v>
      </c>
      <c r="K1002" t="s">
        <v>59</v>
      </c>
      <c r="L1002">
        <v>27442</v>
      </c>
      <c r="M1002">
        <v>51</v>
      </c>
      <c r="N1002">
        <v>18</v>
      </c>
      <c r="O1002">
        <v>1380.886</v>
      </c>
      <c r="P1002">
        <v>284.38</v>
      </c>
      <c r="Q1002">
        <v>25</v>
      </c>
      <c r="R1002">
        <v>6</v>
      </c>
      <c r="S1002" t="s">
        <v>116</v>
      </c>
      <c r="T1002">
        <v>8</v>
      </c>
      <c r="U1002">
        <v>3</v>
      </c>
      <c r="V1002">
        <v>2</v>
      </c>
      <c r="W1002">
        <v>0</v>
      </c>
      <c r="X1002">
        <v>0</v>
      </c>
      <c r="Y1002" s="20">
        <f>SUM(Table1[[#This Row],[dty_type_cnt1]:[dty_type_cnt5]])</f>
        <v>13</v>
      </c>
    </row>
    <row r="1003" spans="1:25" x14ac:dyDescent="0.25">
      <c r="A1003" s="15">
        <v>46103</v>
      </c>
      <c r="B1003" t="s">
        <v>430</v>
      </c>
      <c r="C1003" t="s">
        <v>372</v>
      </c>
      <c r="D1003" t="s">
        <v>46</v>
      </c>
      <c r="E1003">
        <v>66</v>
      </c>
      <c r="F1003" t="s">
        <v>379</v>
      </c>
      <c r="G1003" t="s">
        <v>373</v>
      </c>
      <c r="H1003" t="s">
        <v>374</v>
      </c>
      <c r="I1003" t="s">
        <v>373</v>
      </c>
      <c r="J1003" t="s">
        <v>171</v>
      </c>
      <c r="K1003" t="s">
        <v>59</v>
      </c>
      <c r="L1003">
        <v>27442</v>
      </c>
      <c r="M1003">
        <v>16</v>
      </c>
      <c r="N1003">
        <v>6</v>
      </c>
      <c r="O1003">
        <v>1246.6479999999999</v>
      </c>
      <c r="P1003">
        <v>108.5</v>
      </c>
      <c r="Q1003">
        <v>95</v>
      </c>
      <c r="R1003">
        <v>2</v>
      </c>
      <c r="S1003" t="s">
        <v>116</v>
      </c>
      <c r="T1003">
        <v>2</v>
      </c>
      <c r="U1003">
        <v>2</v>
      </c>
      <c r="V1003">
        <v>0</v>
      </c>
      <c r="W1003">
        <v>0</v>
      </c>
      <c r="X1003">
        <v>0</v>
      </c>
      <c r="Y1003" s="20">
        <f>SUM(Table1[[#This Row],[dty_type_cnt1]:[dty_type_cnt5]])</f>
        <v>4</v>
      </c>
    </row>
    <row r="1004" spans="1:25" x14ac:dyDescent="0.25">
      <c r="A1004" s="15">
        <v>46103</v>
      </c>
      <c r="B1004" t="s">
        <v>430</v>
      </c>
      <c r="C1004" t="s">
        <v>372</v>
      </c>
      <c r="D1004" t="s">
        <v>46</v>
      </c>
      <c r="E1004">
        <v>67</v>
      </c>
      <c r="F1004" t="s">
        <v>380</v>
      </c>
      <c r="G1004" t="s">
        <v>373</v>
      </c>
      <c r="H1004" t="s">
        <v>374</v>
      </c>
      <c r="I1004" t="s">
        <v>373</v>
      </c>
      <c r="J1004" t="s">
        <v>171</v>
      </c>
      <c r="K1004" t="s">
        <v>59</v>
      </c>
      <c r="L1004">
        <v>27442</v>
      </c>
      <c r="M1004">
        <v>18</v>
      </c>
      <c r="N1004">
        <v>10</v>
      </c>
      <c r="O1004">
        <v>1482.3720000000001</v>
      </c>
      <c r="P1004">
        <v>163.19999999999999</v>
      </c>
      <c r="Q1004">
        <v>130</v>
      </c>
      <c r="R1004">
        <v>3</v>
      </c>
      <c r="S1004" t="s">
        <v>116</v>
      </c>
      <c r="T1004">
        <v>2</v>
      </c>
      <c r="U1004">
        <v>2</v>
      </c>
      <c r="V1004">
        <v>2</v>
      </c>
      <c r="W1004">
        <v>0</v>
      </c>
      <c r="X1004">
        <v>0</v>
      </c>
      <c r="Y1004" s="20">
        <f>SUM(Table1[[#This Row],[dty_type_cnt1]:[dty_type_cnt5]])</f>
        <v>6</v>
      </c>
    </row>
    <row r="1005" spans="1:25" x14ac:dyDescent="0.25">
      <c r="A1005" s="15">
        <v>46103</v>
      </c>
      <c r="B1005" t="s">
        <v>430</v>
      </c>
      <c r="C1005" t="s">
        <v>372</v>
      </c>
      <c r="D1005" t="s">
        <v>46</v>
      </c>
      <c r="E1005">
        <v>68</v>
      </c>
      <c r="F1005" t="s">
        <v>381</v>
      </c>
      <c r="G1005" t="s">
        <v>373</v>
      </c>
      <c r="H1005" t="s">
        <v>374</v>
      </c>
      <c r="I1005" t="s">
        <v>373</v>
      </c>
      <c r="J1005" t="s">
        <v>171</v>
      </c>
      <c r="K1005" t="s">
        <v>59</v>
      </c>
      <c r="L1005">
        <v>27442</v>
      </c>
      <c r="M1005">
        <v>4</v>
      </c>
      <c r="N1005">
        <v>4</v>
      </c>
      <c r="O1005">
        <v>542.15200000000004</v>
      </c>
      <c r="P1005">
        <v>114.6</v>
      </c>
      <c r="Q1005">
        <v>180</v>
      </c>
      <c r="R1005">
        <v>1</v>
      </c>
      <c r="S1005" t="s">
        <v>116</v>
      </c>
      <c r="T1005">
        <v>1</v>
      </c>
      <c r="U1005">
        <v>1</v>
      </c>
      <c r="V1005">
        <v>0</v>
      </c>
      <c r="W1005">
        <v>0</v>
      </c>
      <c r="X1005">
        <v>0</v>
      </c>
      <c r="Y1005" s="20">
        <f>SUM(Table1[[#This Row],[dty_type_cnt1]:[dty_type_cnt5]])</f>
        <v>2</v>
      </c>
    </row>
    <row r="1006" spans="1:25" x14ac:dyDescent="0.25">
      <c r="A1006" s="15">
        <v>46103</v>
      </c>
      <c r="B1006" t="s">
        <v>430</v>
      </c>
      <c r="C1006" t="s">
        <v>372</v>
      </c>
      <c r="D1006" t="s">
        <v>46</v>
      </c>
      <c r="E1006">
        <v>83</v>
      </c>
      <c r="F1006" t="s">
        <v>163</v>
      </c>
      <c r="G1006" t="s">
        <v>373</v>
      </c>
      <c r="H1006" t="s">
        <v>374</v>
      </c>
      <c r="I1006" t="s">
        <v>373</v>
      </c>
      <c r="J1006" t="s">
        <v>0</v>
      </c>
      <c r="K1006" t="s">
        <v>59</v>
      </c>
      <c r="L1006">
        <v>27442</v>
      </c>
      <c r="M1006">
        <v>24</v>
      </c>
      <c r="N1006">
        <v>16</v>
      </c>
      <c r="O1006">
        <v>849.64099999999996</v>
      </c>
      <c r="P1006">
        <v>279.10000000000002</v>
      </c>
      <c r="Q1006">
        <v>35</v>
      </c>
      <c r="R1006">
        <v>4</v>
      </c>
      <c r="S1006" t="s">
        <v>116</v>
      </c>
      <c r="T1006">
        <v>4</v>
      </c>
      <c r="U1006">
        <v>3</v>
      </c>
      <c r="V1006">
        <v>1</v>
      </c>
      <c r="W1006">
        <v>0</v>
      </c>
      <c r="X1006">
        <v>0</v>
      </c>
      <c r="Y1006" s="20">
        <f>SUM(Table1[[#This Row],[dty_type_cnt1]:[dty_type_cnt5]])</f>
        <v>8</v>
      </c>
    </row>
    <row r="1007" spans="1:25" x14ac:dyDescent="0.25">
      <c r="A1007" s="15">
        <v>46103</v>
      </c>
      <c r="B1007" t="s">
        <v>430</v>
      </c>
      <c r="C1007" t="s">
        <v>372</v>
      </c>
      <c r="D1007" t="s">
        <v>46</v>
      </c>
      <c r="E1007">
        <v>93</v>
      </c>
      <c r="F1007" t="s">
        <v>276</v>
      </c>
      <c r="G1007" t="s">
        <v>373</v>
      </c>
      <c r="H1007" t="s">
        <v>374</v>
      </c>
      <c r="I1007" t="s">
        <v>373</v>
      </c>
      <c r="J1007" t="s">
        <v>0</v>
      </c>
      <c r="K1007" t="s">
        <v>59</v>
      </c>
      <c r="L1007">
        <v>27442</v>
      </c>
      <c r="M1007">
        <v>12</v>
      </c>
      <c r="N1007">
        <v>6</v>
      </c>
      <c r="O1007">
        <v>285.60000000000002</v>
      </c>
      <c r="P1007">
        <v>121.1</v>
      </c>
      <c r="Q1007">
        <v>30</v>
      </c>
      <c r="R1007">
        <v>2</v>
      </c>
      <c r="S1007" t="s">
        <v>116</v>
      </c>
      <c r="T1007">
        <v>2</v>
      </c>
      <c r="U1007">
        <v>1</v>
      </c>
      <c r="V1007">
        <v>1</v>
      </c>
      <c r="W1007">
        <v>0</v>
      </c>
      <c r="X1007">
        <v>0</v>
      </c>
      <c r="Y1007" s="20">
        <f>SUM(Table1[[#This Row],[dty_type_cnt1]:[dty_type_cnt5]])</f>
        <v>4</v>
      </c>
    </row>
    <row r="1008" spans="1:25" x14ac:dyDescent="0.25">
      <c r="A1008" s="15">
        <v>46103</v>
      </c>
      <c r="B1008" t="s">
        <v>430</v>
      </c>
      <c r="C1008" t="s">
        <v>372</v>
      </c>
      <c r="D1008" t="s">
        <v>46</v>
      </c>
      <c r="E1008" t="s">
        <v>120</v>
      </c>
      <c r="F1008" t="s">
        <v>121</v>
      </c>
      <c r="G1008" t="s">
        <v>373</v>
      </c>
      <c r="H1008" t="s">
        <v>374</v>
      </c>
      <c r="I1008" t="s">
        <v>373</v>
      </c>
      <c r="J1008" t="s">
        <v>47</v>
      </c>
      <c r="K1008" t="s">
        <v>59</v>
      </c>
      <c r="L1008">
        <v>27442</v>
      </c>
      <c r="M1008">
        <v>87</v>
      </c>
      <c r="N1008">
        <v>14</v>
      </c>
      <c r="O1008">
        <v>1479.681</v>
      </c>
      <c r="P1008">
        <v>361.4</v>
      </c>
      <c r="Q1008">
        <v>15</v>
      </c>
      <c r="R1008">
        <v>7</v>
      </c>
      <c r="S1008" t="s">
        <v>116</v>
      </c>
      <c r="T1008">
        <v>9</v>
      </c>
      <c r="U1008">
        <v>4</v>
      </c>
      <c r="V1008">
        <v>7</v>
      </c>
      <c r="W1008">
        <v>0</v>
      </c>
      <c r="X1008">
        <v>0</v>
      </c>
      <c r="Y1008" s="20">
        <f>SUM(Table1[[#This Row],[dty_type_cnt1]:[dty_type_cnt5]])</f>
        <v>20</v>
      </c>
    </row>
    <row r="1009" spans="1:25" x14ac:dyDescent="0.25">
      <c r="A1009" s="15">
        <v>46103</v>
      </c>
      <c r="B1009" t="s">
        <v>430</v>
      </c>
      <c r="C1009" t="s">
        <v>372</v>
      </c>
      <c r="D1009" t="s">
        <v>46</v>
      </c>
      <c r="E1009" t="s">
        <v>56</v>
      </c>
      <c r="F1009" t="s">
        <v>57</v>
      </c>
      <c r="G1009" t="s">
        <v>373</v>
      </c>
      <c r="H1009" t="s">
        <v>374</v>
      </c>
      <c r="I1009" t="s">
        <v>373</v>
      </c>
      <c r="J1009" t="s">
        <v>0</v>
      </c>
      <c r="K1009" t="s">
        <v>59</v>
      </c>
      <c r="L1009">
        <v>27442</v>
      </c>
      <c r="M1009">
        <v>74</v>
      </c>
      <c r="N1009">
        <v>22</v>
      </c>
      <c r="O1009">
        <v>1287.0319999999999</v>
      </c>
      <c r="P1009">
        <v>436</v>
      </c>
      <c r="Q1009">
        <v>20</v>
      </c>
      <c r="R1009">
        <v>8</v>
      </c>
      <c r="S1009" t="s">
        <v>116</v>
      </c>
      <c r="T1009">
        <v>9</v>
      </c>
      <c r="U1009">
        <v>6</v>
      </c>
      <c r="V1009">
        <v>4</v>
      </c>
      <c r="W1009">
        <v>0</v>
      </c>
      <c r="X1009">
        <v>0</v>
      </c>
      <c r="Y1009" s="20">
        <f>SUM(Table1[[#This Row],[dty_type_cnt1]:[dty_type_cnt5]])</f>
        <v>19</v>
      </c>
    </row>
    <row r="1010" spans="1:25" x14ac:dyDescent="0.25">
      <c r="A1010" s="15">
        <v>46103</v>
      </c>
      <c r="B1010" t="s">
        <v>430</v>
      </c>
      <c r="C1010" t="s">
        <v>372</v>
      </c>
      <c r="D1010" t="s">
        <v>46</v>
      </c>
      <c r="E1010" t="s">
        <v>382</v>
      </c>
      <c r="F1010" t="s">
        <v>383</v>
      </c>
      <c r="G1010" t="s">
        <v>373</v>
      </c>
      <c r="H1010" t="s">
        <v>374</v>
      </c>
      <c r="I1010" t="s">
        <v>373</v>
      </c>
      <c r="J1010" t="s">
        <v>0</v>
      </c>
      <c r="K1010" t="s">
        <v>59</v>
      </c>
      <c r="L1010">
        <v>27442</v>
      </c>
      <c r="M1010">
        <v>55</v>
      </c>
      <c r="N1010">
        <v>14</v>
      </c>
      <c r="O1010">
        <v>1199.9880000000001</v>
      </c>
      <c r="P1010">
        <v>304.762</v>
      </c>
      <c r="Q1010">
        <v>25</v>
      </c>
      <c r="R1010">
        <v>5</v>
      </c>
      <c r="S1010" t="s">
        <v>116</v>
      </c>
      <c r="T1010">
        <v>5</v>
      </c>
      <c r="U1010">
        <v>5</v>
      </c>
      <c r="V1010">
        <v>0</v>
      </c>
      <c r="W1010">
        <v>0</v>
      </c>
      <c r="X1010">
        <v>0</v>
      </c>
      <c r="Y1010" s="20">
        <f>SUM(Table1[[#This Row],[dty_type_cnt1]:[dty_type_cnt5]])</f>
        <v>10</v>
      </c>
    </row>
    <row r="1011" spans="1:25" x14ac:dyDescent="0.25">
      <c r="A1011" s="15">
        <v>46103</v>
      </c>
      <c r="B1011" t="s">
        <v>430</v>
      </c>
      <c r="C1011" t="s">
        <v>372</v>
      </c>
      <c r="D1011" t="s">
        <v>46</v>
      </c>
      <c r="E1011" t="s">
        <v>52</v>
      </c>
      <c r="F1011" t="s">
        <v>53</v>
      </c>
      <c r="G1011" t="s">
        <v>373</v>
      </c>
      <c r="H1011" t="s">
        <v>374</v>
      </c>
      <c r="I1011" t="s">
        <v>373</v>
      </c>
      <c r="J1011" t="s">
        <v>0</v>
      </c>
      <c r="K1011" t="s">
        <v>59</v>
      </c>
      <c r="L1011">
        <v>27442</v>
      </c>
      <c r="M1011">
        <v>8</v>
      </c>
      <c r="N1011">
        <v>2</v>
      </c>
      <c r="O1011">
        <v>189.91800000000001</v>
      </c>
      <c r="P1011">
        <v>51.1</v>
      </c>
      <c r="Q1011">
        <v>20</v>
      </c>
      <c r="R1011">
        <v>1</v>
      </c>
      <c r="S1011" t="s">
        <v>116</v>
      </c>
      <c r="T1011">
        <v>1</v>
      </c>
      <c r="U1011">
        <v>1</v>
      </c>
      <c r="V1011">
        <v>0</v>
      </c>
      <c r="W1011">
        <v>0</v>
      </c>
      <c r="X1011">
        <v>0</v>
      </c>
      <c r="Y1011" s="20">
        <f>SUM(Table1[[#This Row],[dty_type_cnt1]:[dty_type_cnt5]])</f>
        <v>2</v>
      </c>
    </row>
    <row r="1012" spans="1:25" x14ac:dyDescent="0.25">
      <c r="A1012" s="15">
        <v>46103</v>
      </c>
      <c r="B1012" t="s">
        <v>430</v>
      </c>
      <c r="C1012" t="s">
        <v>372</v>
      </c>
      <c r="D1012" t="s">
        <v>46</v>
      </c>
      <c r="E1012" t="s">
        <v>240</v>
      </c>
      <c r="F1012" t="s">
        <v>241</v>
      </c>
      <c r="G1012" t="s">
        <v>373</v>
      </c>
      <c r="H1012" t="s">
        <v>374</v>
      </c>
      <c r="I1012" t="s">
        <v>373</v>
      </c>
      <c r="J1012" t="s">
        <v>0</v>
      </c>
      <c r="K1012" t="s">
        <v>59</v>
      </c>
      <c r="L1012">
        <v>27442</v>
      </c>
      <c r="M1012">
        <v>6</v>
      </c>
      <c r="N1012">
        <v>4</v>
      </c>
      <c r="O1012">
        <v>143.08799999999999</v>
      </c>
      <c r="P1012">
        <v>82.5</v>
      </c>
      <c r="Q1012">
        <v>20</v>
      </c>
      <c r="R1012">
        <v>1</v>
      </c>
      <c r="S1012" t="s">
        <v>116</v>
      </c>
      <c r="T1012">
        <v>1</v>
      </c>
      <c r="U1012">
        <v>1</v>
      </c>
      <c r="V1012">
        <v>0</v>
      </c>
      <c r="W1012">
        <v>0</v>
      </c>
      <c r="X1012">
        <v>0</v>
      </c>
      <c r="Y1012" s="20">
        <f>SUM(Table1[[#This Row],[dty_type_cnt1]:[dty_type_cnt5]])</f>
        <v>2</v>
      </c>
    </row>
    <row r="1013" spans="1:25" x14ac:dyDescent="0.25">
      <c r="A1013" s="15">
        <v>46103</v>
      </c>
      <c r="B1013" t="s">
        <v>430</v>
      </c>
      <c r="C1013" t="s">
        <v>372</v>
      </c>
      <c r="D1013" t="s">
        <v>55</v>
      </c>
      <c r="E1013" t="s">
        <v>384</v>
      </c>
      <c r="F1013" t="s">
        <v>385</v>
      </c>
      <c r="G1013" t="s">
        <v>373</v>
      </c>
      <c r="H1013" t="s">
        <v>374</v>
      </c>
      <c r="I1013" t="s">
        <v>373</v>
      </c>
      <c r="J1013" t="s">
        <v>171</v>
      </c>
      <c r="K1013" t="s">
        <v>59</v>
      </c>
      <c r="L1013">
        <v>27442</v>
      </c>
      <c r="M1013">
        <v>24</v>
      </c>
      <c r="N1013">
        <v>8</v>
      </c>
      <c r="O1013">
        <v>248.68799999999999</v>
      </c>
      <c r="P1013">
        <v>133.69999999999999</v>
      </c>
      <c r="Q1013">
        <v>25</v>
      </c>
      <c r="R1013">
        <v>2</v>
      </c>
      <c r="S1013" t="s">
        <v>116</v>
      </c>
      <c r="T1013">
        <v>2</v>
      </c>
      <c r="U1013">
        <v>2</v>
      </c>
      <c r="V1013">
        <v>0</v>
      </c>
      <c r="W1013">
        <v>0</v>
      </c>
      <c r="X1013">
        <v>0</v>
      </c>
      <c r="Y1013" s="20">
        <f>SUM(Table1[[#This Row],[dty_type_cnt1]:[dty_type_cnt5]])</f>
        <v>4</v>
      </c>
    </row>
    <row r="1014" spans="1:25" x14ac:dyDescent="0.25">
      <c r="A1014" s="15">
        <v>46103</v>
      </c>
      <c r="B1014" t="s">
        <v>430</v>
      </c>
      <c r="C1014" t="s">
        <v>372</v>
      </c>
      <c r="D1014" t="s">
        <v>54</v>
      </c>
      <c r="E1014" t="s">
        <v>386</v>
      </c>
      <c r="F1014" t="s">
        <v>387</v>
      </c>
      <c r="G1014" t="s">
        <v>373</v>
      </c>
      <c r="H1014" t="s">
        <v>374</v>
      </c>
      <c r="I1014" t="s">
        <v>373</v>
      </c>
      <c r="J1014" t="s">
        <v>47</v>
      </c>
      <c r="K1014" t="s">
        <v>59</v>
      </c>
      <c r="L1014">
        <v>27442</v>
      </c>
      <c r="M1014">
        <v>51</v>
      </c>
      <c r="N1014">
        <v>8</v>
      </c>
      <c r="O1014">
        <v>487.815</v>
      </c>
      <c r="P1014">
        <v>173.7</v>
      </c>
      <c r="Q1014">
        <v>15</v>
      </c>
      <c r="R1014">
        <v>3</v>
      </c>
      <c r="S1014" t="s">
        <v>116</v>
      </c>
      <c r="T1014">
        <v>3</v>
      </c>
      <c r="U1014">
        <v>3</v>
      </c>
      <c r="V1014">
        <v>0</v>
      </c>
      <c r="W1014">
        <v>0</v>
      </c>
      <c r="X1014">
        <v>0</v>
      </c>
      <c r="Y1014" s="20">
        <f>SUM(Table1[[#This Row],[dty_type_cnt1]:[dty_type_cnt5]])</f>
        <v>6</v>
      </c>
    </row>
    <row r="1015" spans="1:25" x14ac:dyDescent="0.25">
      <c r="A1015" s="15">
        <v>46103</v>
      </c>
      <c r="B1015" t="s">
        <v>430</v>
      </c>
      <c r="C1015" t="s">
        <v>372</v>
      </c>
      <c r="D1015" t="s">
        <v>54</v>
      </c>
      <c r="E1015" t="s">
        <v>388</v>
      </c>
      <c r="F1015" t="s">
        <v>389</v>
      </c>
      <c r="G1015" t="s">
        <v>373</v>
      </c>
      <c r="H1015" t="s">
        <v>374</v>
      </c>
      <c r="I1015" t="s">
        <v>373</v>
      </c>
      <c r="J1015" t="s">
        <v>0</v>
      </c>
      <c r="K1015" t="s">
        <v>59</v>
      </c>
      <c r="L1015">
        <v>27442</v>
      </c>
      <c r="M1015">
        <v>87</v>
      </c>
      <c r="N1015">
        <v>12</v>
      </c>
      <c r="O1015">
        <v>558.45299999999997</v>
      </c>
      <c r="P1015">
        <v>204.8</v>
      </c>
      <c r="Q1015">
        <v>10</v>
      </c>
      <c r="R1015">
        <v>4</v>
      </c>
      <c r="S1015" t="s">
        <v>116</v>
      </c>
      <c r="T1015">
        <v>4</v>
      </c>
      <c r="U1015">
        <v>2</v>
      </c>
      <c r="V1015">
        <v>2</v>
      </c>
      <c r="W1015">
        <v>0</v>
      </c>
      <c r="X1015">
        <v>0</v>
      </c>
      <c r="Y1015" s="20">
        <f>SUM(Table1[[#This Row],[dty_type_cnt1]:[dty_type_cnt5]])</f>
        <v>8</v>
      </c>
    </row>
    <row r="1016" spans="1:25" x14ac:dyDescent="0.25">
      <c r="A1016" s="15">
        <v>46103</v>
      </c>
      <c r="B1016" t="s">
        <v>430</v>
      </c>
      <c r="C1016" t="s">
        <v>372</v>
      </c>
      <c r="D1016" t="s">
        <v>54</v>
      </c>
      <c r="E1016" t="s">
        <v>287</v>
      </c>
      <c r="F1016" t="s">
        <v>288</v>
      </c>
      <c r="G1016" t="s">
        <v>373</v>
      </c>
      <c r="H1016" t="s">
        <v>374</v>
      </c>
      <c r="I1016" t="s">
        <v>373</v>
      </c>
      <c r="J1016" t="s">
        <v>47</v>
      </c>
      <c r="K1016" t="s">
        <v>59</v>
      </c>
      <c r="L1016">
        <v>27442</v>
      </c>
      <c r="M1016">
        <v>65</v>
      </c>
      <c r="N1016">
        <v>10</v>
      </c>
      <c r="O1016">
        <v>910.52</v>
      </c>
      <c r="P1016">
        <v>242</v>
      </c>
      <c r="Q1016">
        <v>8</v>
      </c>
      <c r="R1016">
        <v>5</v>
      </c>
      <c r="S1016" t="s">
        <v>116</v>
      </c>
      <c r="T1016">
        <v>5</v>
      </c>
      <c r="U1016">
        <v>5</v>
      </c>
      <c r="V1016">
        <v>0</v>
      </c>
      <c r="W1016">
        <v>0</v>
      </c>
      <c r="X1016">
        <v>0</v>
      </c>
      <c r="Y1016" s="20">
        <f>SUM(Table1[[#This Row],[dty_type_cnt1]:[dty_type_cnt5]])</f>
        <v>10</v>
      </c>
    </row>
    <row r="1017" spans="1:25" x14ac:dyDescent="0.25">
      <c r="A1017" s="15">
        <v>46103</v>
      </c>
      <c r="B1017" t="s">
        <v>430</v>
      </c>
      <c r="C1017" t="s">
        <v>372</v>
      </c>
      <c r="D1017" t="s">
        <v>54</v>
      </c>
      <c r="E1017" t="s">
        <v>390</v>
      </c>
      <c r="F1017" t="s">
        <v>391</v>
      </c>
      <c r="G1017" t="s">
        <v>373</v>
      </c>
      <c r="H1017" t="s">
        <v>374</v>
      </c>
      <c r="I1017" t="s">
        <v>373</v>
      </c>
      <c r="J1017" t="s">
        <v>47</v>
      </c>
      <c r="K1017" t="s">
        <v>59</v>
      </c>
      <c r="L1017">
        <v>27442</v>
      </c>
      <c r="M1017">
        <v>67</v>
      </c>
      <c r="N1017">
        <v>22</v>
      </c>
      <c r="O1017">
        <v>817.33299999999997</v>
      </c>
      <c r="P1017">
        <v>375.1</v>
      </c>
      <c r="Q1017">
        <v>10</v>
      </c>
      <c r="R1017">
        <v>6</v>
      </c>
      <c r="S1017" t="s">
        <v>116</v>
      </c>
      <c r="T1017">
        <v>5</v>
      </c>
      <c r="U1017">
        <v>5</v>
      </c>
      <c r="V1017">
        <v>1</v>
      </c>
      <c r="W1017">
        <v>0</v>
      </c>
      <c r="X1017">
        <v>0</v>
      </c>
      <c r="Y1017" s="20">
        <f>SUM(Table1[[#This Row],[dty_type_cnt1]:[dty_type_cnt5]])</f>
        <v>11</v>
      </c>
    </row>
    <row r="1018" spans="1:25" x14ac:dyDescent="0.25">
      <c r="A1018" s="15">
        <v>46103</v>
      </c>
      <c r="B1018" t="s">
        <v>430</v>
      </c>
      <c r="C1018" t="s">
        <v>372</v>
      </c>
      <c r="D1018" t="s">
        <v>54</v>
      </c>
      <c r="E1018" t="s">
        <v>392</v>
      </c>
      <c r="F1018" t="s">
        <v>393</v>
      </c>
      <c r="G1018" t="s">
        <v>373</v>
      </c>
      <c r="H1018" t="s">
        <v>374</v>
      </c>
      <c r="I1018" t="s">
        <v>373</v>
      </c>
      <c r="J1018" t="s">
        <v>0</v>
      </c>
      <c r="K1018" t="s">
        <v>59</v>
      </c>
      <c r="L1018">
        <v>27442</v>
      </c>
      <c r="M1018">
        <v>52</v>
      </c>
      <c r="N1018">
        <v>4</v>
      </c>
      <c r="O1018">
        <v>192.71199999999999</v>
      </c>
      <c r="P1018">
        <v>52.2</v>
      </c>
      <c r="Q1018">
        <v>24</v>
      </c>
      <c r="R1018">
        <v>2</v>
      </c>
      <c r="S1018" t="s">
        <v>116</v>
      </c>
      <c r="T1018">
        <v>2</v>
      </c>
      <c r="U1018">
        <v>1</v>
      </c>
      <c r="V1018">
        <v>1</v>
      </c>
      <c r="W1018">
        <v>0</v>
      </c>
      <c r="X1018">
        <v>0</v>
      </c>
      <c r="Y1018" s="20">
        <f>SUM(Table1[[#This Row],[dty_type_cnt1]:[dty_type_cnt5]])</f>
        <v>4</v>
      </c>
    </row>
    <row r="1019" spans="1:25" x14ac:dyDescent="0.25">
      <c r="A1019" s="15">
        <v>46103</v>
      </c>
      <c r="B1019" t="s">
        <v>430</v>
      </c>
      <c r="C1019" t="s">
        <v>372</v>
      </c>
      <c r="D1019" t="s">
        <v>54</v>
      </c>
      <c r="E1019" t="s">
        <v>394</v>
      </c>
      <c r="F1019" t="s">
        <v>395</v>
      </c>
      <c r="G1019" t="s">
        <v>373</v>
      </c>
      <c r="H1019" t="s">
        <v>374</v>
      </c>
      <c r="I1019" t="s">
        <v>373</v>
      </c>
      <c r="J1019" t="s">
        <v>47</v>
      </c>
      <c r="K1019" t="s">
        <v>59</v>
      </c>
      <c r="L1019">
        <v>27442</v>
      </c>
      <c r="M1019">
        <v>68</v>
      </c>
      <c r="N1019">
        <v>20</v>
      </c>
      <c r="O1019">
        <v>784.202</v>
      </c>
      <c r="P1019">
        <v>354.3</v>
      </c>
      <c r="Q1019">
        <v>10</v>
      </c>
      <c r="R1019">
        <v>6</v>
      </c>
      <c r="S1019" t="s">
        <v>116</v>
      </c>
      <c r="T1019">
        <v>9</v>
      </c>
      <c r="U1019">
        <v>9</v>
      </c>
      <c r="V1019">
        <v>0</v>
      </c>
      <c r="W1019">
        <v>0</v>
      </c>
      <c r="X1019">
        <v>0</v>
      </c>
      <c r="Y1019" s="20">
        <f>SUM(Table1[[#This Row],[dty_type_cnt1]:[dty_type_cnt5]])</f>
        <v>18</v>
      </c>
    </row>
    <row r="1020" spans="1:25" x14ac:dyDescent="0.25">
      <c r="A1020" s="15">
        <v>46103</v>
      </c>
      <c r="B1020" t="s">
        <v>430</v>
      </c>
      <c r="C1020" t="s">
        <v>372</v>
      </c>
      <c r="D1020" t="s">
        <v>54</v>
      </c>
      <c r="E1020" t="s">
        <v>396</v>
      </c>
      <c r="F1020" t="s">
        <v>397</v>
      </c>
      <c r="G1020" t="s">
        <v>373</v>
      </c>
      <c r="H1020" t="s">
        <v>374</v>
      </c>
      <c r="I1020" t="s">
        <v>373</v>
      </c>
      <c r="J1020" t="s">
        <v>47</v>
      </c>
      <c r="K1020" t="s">
        <v>59</v>
      </c>
      <c r="L1020">
        <v>27442</v>
      </c>
      <c r="M1020">
        <v>71</v>
      </c>
      <c r="N1020">
        <v>25</v>
      </c>
      <c r="O1020">
        <v>843.298</v>
      </c>
      <c r="P1020">
        <v>432.22</v>
      </c>
      <c r="Q1020">
        <v>10</v>
      </c>
      <c r="R1020">
        <v>7</v>
      </c>
      <c r="S1020" t="s">
        <v>116</v>
      </c>
      <c r="T1020">
        <v>4</v>
      </c>
      <c r="U1020">
        <v>4</v>
      </c>
      <c r="V1020">
        <v>0</v>
      </c>
      <c r="W1020">
        <v>0</v>
      </c>
      <c r="X1020">
        <v>0</v>
      </c>
      <c r="Y1020" s="20">
        <f>SUM(Table1[[#This Row],[dty_type_cnt1]:[dty_type_cnt5]])</f>
        <v>8</v>
      </c>
    </row>
    <row r="1021" spans="1:25" x14ac:dyDescent="0.25">
      <c r="A1021" s="15">
        <v>46103</v>
      </c>
      <c r="B1021" t="s">
        <v>430</v>
      </c>
      <c r="C1021" t="s">
        <v>372</v>
      </c>
      <c r="D1021" t="s">
        <v>54</v>
      </c>
      <c r="E1021" t="s">
        <v>398</v>
      </c>
      <c r="F1021" t="s">
        <v>399</v>
      </c>
      <c r="G1021" t="s">
        <v>373</v>
      </c>
      <c r="H1021" t="s">
        <v>374</v>
      </c>
      <c r="I1021" t="s">
        <v>373</v>
      </c>
      <c r="J1021" t="s">
        <v>47</v>
      </c>
      <c r="K1021" t="s">
        <v>59</v>
      </c>
      <c r="L1021">
        <v>27442</v>
      </c>
      <c r="M1021">
        <v>50</v>
      </c>
      <c r="N1021">
        <v>12</v>
      </c>
      <c r="O1021">
        <v>1090.5820000000001</v>
      </c>
      <c r="P1021">
        <v>382.3</v>
      </c>
      <c r="Q1021">
        <v>20</v>
      </c>
      <c r="R1021">
        <v>6</v>
      </c>
      <c r="S1021" t="s">
        <v>116</v>
      </c>
      <c r="T1021">
        <v>7</v>
      </c>
      <c r="U1021">
        <v>5</v>
      </c>
      <c r="V1021">
        <v>1</v>
      </c>
      <c r="W1021">
        <v>0</v>
      </c>
      <c r="X1021">
        <v>0</v>
      </c>
      <c r="Y1021" s="20">
        <f>SUM(Table1[[#This Row],[dty_type_cnt1]:[dty_type_cnt5]])</f>
        <v>13</v>
      </c>
    </row>
    <row r="1022" spans="1:25" x14ac:dyDescent="0.25">
      <c r="A1022" s="15">
        <v>46103</v>
      </c>
      <c r="B1022" t="s">
        <v>430</v>
      </c>
      <c r="C1022" t="s">
        <v>372</v>
      </c>
      <c r="D1022" t="s">
        <v>54</v>
      </c>
      <c r="E1022" t="s">
        <v>400</v>
      </c>
      <c r="F1022" t="s">
        <v>401</v>
      </c>
      <c r="G1022" t="s">
        <v>373</v>
      </c>
      <c r="H1022" t="s">
        <v>374</v>
      </c>
      <c r="I1022" t="s">
        <v>373</v>
      </c>
      <c r="J1022" t="s">
        <v>0</v>
      </c>
      <c r="K1022" t="s">
        <v>59</v>
      </c>
      <c r="L1022">
        <v>27442</v>
      </c>
      <c r="M1022">
        <v>69</v>
      </c>
      <c r="N1022">
        <v>12</v>
      </c>
      <c r="O1022">
        <v>617.13599999999997</v>
      </c>
      <c r="P1022">
        <v>210.8</v>
      </c>
      <c r="Q1022">
        <v>8</v>
      </c>
      <c r="R1022">
        <v>4</v>
      </c>
      <c r="S1022" t="s">
        <v>116</v>
      </c>
      <c r="T1022">
        <v>3</v>
      </c>
      <c r="U1022">
        <v>1</v>
      </c>
      <c r="V1022">
        <v>3</v>
      </c>
      <c r="W1022">
        <v>0</v>
      </c>
      <c r="X1022">
        <v>0</v>
      </c>
      <c r="Y1022" s="20">
        <f>SUM(Table1[[#This Row],[dty_type_cnt1]:[dty_type_cnt5]])</f>
        <v>7</v>
      </c>
    </row>
    <row r="1023" spans="1:25" x14ac:dyDescent="0.25">
      <c r="A1023" s="15">
        <v>46103</v>
      </c>
      <c r="B1023" t="s">
        <v>430</v>
      </c>
      <c r="C1023" t="s">
        <v>372</v>
      </c>
      <c r="D1023" t="s">
        <v>54</v>
      </c>
      <c r="E1023" t="s">
        <v>402</v>
      </c>
      <c r="F1023" t="s">
        <v>403</v>
      </c>
      <c r="G1023" t="s">
        <v>373</v>
      </c>
      <c r="H1023" t="s">
        <v>374</v>
      </c>
      <c r="I1023" t="s">
        <v>373</v>
      </c>
      <c r="J1023" t="s">
        <v>47</v>
      </c>
      <c r="K1023" t="s">
        <v>59</v>
      </c>
      <c r="L1023">
        <v>27442</v>
      </c>
      <c r="M1023">
        <v>51</v>
      </c>
      <c r="N1023">
        <v>4</v>
      </c>
      <c r="O1023">
        <v>314.47000000000003</v>
      </c>
      <c r="P1023">
        <v>98.5</v>
      </c>
      <c r="Q1023">
        <v>20</v>
      </c>
      <c r="R1023">
        <v>2</v>
      </c>
      <c r="S1023" t="s">
        <v>116</v>
      </c>
      <c r="T1023">
        <v>3</v>
      </c>
      <c r="U1023">
        <v>1</v>
      </c>
      <c r="V1023">
        <v>1</v>
      </c>
      <c r="W1023">
        <v>0</v>
      </c>
      <c r="X1023">
        <v>0</v>
      </c>
      <c r="Y1023" s="20">
        <f>SUM(Table1[[#This Row],[dty_type_cnt1]:[dty_type_cnt5]])</f>
        <v>5</v>
      </c>
    </row>
    <row r="1024" spans="1:25" x14ac:dyDescent="0.25">
      <c r="A1024" s="15">
        <v>46103</v>
      </c>
      <c r="B1024" t="s">
        <v>430</v>
      </c>
      <c r="C1024" t="s">
        <v>372</v>
      </c>
      <c r="D1024" t="s">
        <v>49</v>
      </c>
      <c r="E1024" t="s">
        <v>404</v>
      </c>
      <c r="F1024" t="s">
        <v>405</v>
      </c>
      <c r="G1024" t="s">
        <v>373</v>
      </c>
      <c r="H1024" t="s">
        <v>374</v>
      </c>
      <c r="I1024" t="s">
        <v>373</v>
      </c>
      <c r="J1024" t="s">
        <v>0</v>
      </c>
      <c r="K1024" t="s">
        <v>59</v>
      </c>
      <c r="L1024">
        <v>27442</v>
      </c>
      <c r="M1024">
        <v>55</v>
      </c>
      <c r="N1024">
        <v>26</v>
      </c>
      <c r="O1024">
        <v>638.68200000000002</v>
      </c>
      <c r="P1024">
        <v>384.7</v>
      </c>
      <c r="Q1024">
        <v>20</v>
      </c>
      <c r="R1024">
        <v>7</v>
      </c>
      <c r="S1024" t="s">
        <v>116</v>
      </c>
      <c r="T1024">
        <v>6</v>
      </c>
      <c r="U1024">
        <v>7</v>
      </c>
      <c r="V1024">
        <v>0</v>
      </c>
      <c r="W1024">
        <v>0</v>
      </c>
      <c r="X1024">
        <v>0</v>
      </c>
      <c r="Y1024" s="20">
        <f>SUM(Table1[[#This Row],[dty_type_cnt1]:[dty_type_cnt5]])</f>
        <v>13</v>
      </c>
    </row>
    <row r="1025" spans="1:25" x14ac:dyDescent="0.25">
      <c r="A1025" s="15">
        <v>46103</v>
      </c>
      <c r="B1025" t="s">
        <v>430</v>
      </c>
      <c r="C1025" t="s">
        <v>372</v>
      </c>
      <c r="D1025" t="s">
        <v>49</v>
      </c>
      <c r="E1025" t="s">
        <v>250</v>
      </c>
      <c r="F1025" t="s">
        <v>251</v>
      </c>
      <c r="G1025" t="s">
        <v>373</v>
      </c>
      <c r="H1025" t="s">
        <v>374</v>
      </c>
      <c r="I1025" t="s">
        <v>373</v>
      </c>
      <c r="J1025" t="s">
        <v>0</v>
      </c>
      <c r="K1025" t="s">
        <v>59</v>
      </c>
      <c r="L1025">
        <v>27442</v>
      </c>
      <c r="M1025">
        <v>4</v>
      </c>
      <c r="N1025">
        <v>2</v>
      </c>
      <c r="O1025">
        <v>92.546000000000006</v>
      </c>
      <c r="P1025">
        <v>51.8</v>
      </c>
      <c r="Q1025">
        <v>20</v>
      </c>
      <c r="R1025">
        <v>1</v>
      </c>
      <c r="S1025" t="s">
        <v>116</v>
      </c>
      <c r="T1025">
        <v>0</v>
      </c>
      <c r="U1025">
        <v>1</v>
      </c>
      <c r="V1025">
        <v>0</v>
      </c>
      <c r="W1025">
        <v>0</v>
      </c>
      <c r="X1025">
        <v>0</v>
      </c>
      <c r="Y1025" s="20">
        <f>SUM(Table1[[#This Row],[dty_type_cnt1]:[dty_type_cnt5]])</f>
        <v>1</v>
      </c>
    </row>
    <row r="1026" spans="1:25" x14ac:dyDescent="0.25">
      <c r="A1026" s="15">
        <v>46103</v>
      </c>
      <c r="B1026" t="s">
        <v>430</v>
      </c>
      <c r="C1026" t="s">
        <v>372</v>
      </c>
      <c r="D1026" t="s">
        <v>49</v>
      </c>
      <c r="E1026" t="s">
        <v>252</v>
      </c>
      <c r="F1026" t="s">
        <v>253</v>
      </c>
      <c r="G1026" t="s">
        <v>373</v>
      </c>
      <c r="H1026" t="s">
        <v>374</v>
      </c>
      <c r="I1026" t="s">
        <v>373</v>
      </c>
      <c r="J1026" t="s">
        <v>0</v>
      </c>
      <c r="K1026" t="s">
        <v>59</v>
      </c>
      <c r="L1026">
        <v>27442</v>
      </c>
      <c r="M1026">
        <v>20</v>
      </c>
      <c r="N1026">
        <v>20</v>
      </c>
      <c r="O1026">
        <v>693.91</v>
      </c>
      <c r="P1026">
        <v>340.4</v>
      </c>
      <c r="Q1026">
        <v>15</v>
      </c>
      <c r="R1026">
        <v>5</v>
      </c>
      <c r="S1026" t="s">
        <v>116</v>
      </c>
      <c r="T1026">
        <v>5</v>
      </c>
      <c r="U1026">
        <v>2</v>
      </c>
      <c r="V1026">
        <v>3</v>
      </c>
      <c r="W1026">
        <v>0</v>
      </c>
      <c r="X1026">
        <v>0</v>
      </c>
      <c r="Y1026" s="20">
        <f>SUM(Table1[[#This Row],[dty_type_cnt1]:[dty_type_cnt5]])</f>
        <v>10</v>
      </c>
    </row>
    <row r="1027" spans="1:25" x14ac:dyDescent="0.25">
      <c r="A1027" s="15">
        <v>46103</v>
      </c>
      <c r="B1027" t="s">
        <v>430</v>
      </c>
      <c r="C1027" t="s">
        <v>372</v>
      </c>
      <c r="D1027" t="s">
        <v>49</v>
      </c>
      <c r="E1027" t="s">
        <v>104</v>
      </c>
      <c r="F1027" t="s">
        <v>134</v>
      </c>
      <c r="G1027" t="s">
        <v>373</v>
      </c>
      <c r="H1027" t="s">
        <v>374</v>
      </c>
      <c r="I1027" t="s">
        <v>373</v>
      </c>
      <c r="J1027" t="s">
        <v>0</v>
      </c>
      <c r="K1027" t="s">
        <v>59</v>
      </c>
      <c r="L1027">
        <v>27442</v>
      </c>
      <c r="M1027">
        <v>86</v>
      </c>
      <c r="N1027">
        <v>28</v>
      </c>
      <c r="O1027">
        <v>2668.7260000000001</v>
      </c>
      <c r="P1027">
        <v>485.6</v>
      </c>
      <c r="Q1027">
        <v>17</v>
      </c>
      <c r="R1027">
        <v>10</v>
      </c>
      <c r="S1027" t="s">
        <v>116</v>
      </c>
      <c r="T1027">
        <v>10</v>
      </c>
      <c r="U1027">
        <v>10</v>
      </c>
      <c r="V1027">
        <v>0</v>
      </c>
      <c r="W1027">
        <v>0</v>
      </c>
      <c r="X1027">
        <v>0</v>
      </c>
      <c r="Y1027" s="20">
        <f>SUM(Table1[[#This Row],[dty_type_cnt1]:[dty_type_cnt5]])</f>
        <v>20</v>
      </c>
    </row>
  </sheetData>
  <phoneticPr fontId="5" type="noConversion"/>
  <pageMargins left="0.7" right="0.7" top="0.75" bottom="0.75" header="0.3" footer="0.3"/>
  <pageSetup paperSize="9"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D573-15FE-44FE-98D6-8CFDE463B038}">
  <sheetPr codeName="Sheet3"/>
  <dimension ref="A1:BH59"/>
  <sheetViews>
    <sheetView tabSelected="1" zoomScaleNormal="100" workbookViewId="0">
      <pane xSplit="4" ySplit="6" topLeftCell="E19" activePane="bottomRight" state="frozen"/>
      <selection activeCell="C765" sqref="C765"/>
      <selection pane="topRight" activeCell="C765" sqref="C765"/>
      <selection pane="bottomLeft" activeCell="C765" sqref="C765"/>
      <selection pane="bottomRight" activeCell="K14" sqref="K14"/>
    </sheetView>
  </sheetViews>
  <sheetFormatPr defaultRowHeight="15" x14ac:dyDescent="0.25"/>
  <cols>
    <col min="1" max="1" width="11.5703125" customWidth="1"/>
    <col min="2" max="2" width="51" customWidth="1"/>
    <col min="3" max="3" width="20.5703125" customWidth="1"/>
    <col min="4" max="4" width="20" customWidth="1"/>
    <col min="5" max="5" width="8.140625" bestFit="1" customWidth="1"/>
    <col min="6" max="6" width="7.7109375" customWidth="1"/>
    <col min="7" max="8" width="8.7109375" customWidth="1"/>
    <col min="9" max="9" width="7.42578125" customWidth="1"/>
    <col min="10" max="10" width="8.85546875" bestFit="1" customWidth="1"/>
    <col min="11" max="11" width="8.7109375" customWidth="1"/>
    <col min="12" max="12" width="7.42578125" customWidth="1"/>
    <col min="13" max="13" width="4.5703125" bestFit="1" customWidth="1"/>
    <col min="14" max="14" width="5.140625" bestFit="1" customWidth="1"/>
    <col min="15" max="15" width="8.140625" bestFit="1" customWidth="1"/>
    <col min="16" max="16" width="9.140625" bestFit="1" customWidth="1"/>
    <col min="17" max="17" width="9.28515625" bestFit="1" customWidth="1"/>
    <col min="18" max="18" width="9" bestFit="1" customWidth="1"/>
    <col min="19" max="20" width="8.85546875" bestFit="1" customWidth="1"/>
    <col min="21" max="21" width="7.7109375" bestFit="1" customWidth="1"/>
    <col min="22" max="22" width="4.5703125" bestFit="1" customWidth="1"/>
    <col min="23" max="23" width="5.140625" bestFit="1" customWidth="1"/>
    <col min="24" max="24" width="8.140625" bestFit="1" customWidth="1"/>
    <col min="25" max="25" width="9.140625" bestFit="1" customWidth="1"/>
    <col min="26" max="26" width="9.28515625" bestFit="1" customWidth="1"/>
    <col min="27" max="27" width="7.7109375" bestFit="1" customWidth="1"/>
    <col min="28" max="28" width="9" bestFit="1" customWidth="1"/>
    <col min="29" max="29" width="8.85546875" bestFit="1" customWidth="1"/>
    <col min="30" max="30" width="7.7109375" bestFit="1" customWidth="1"/>
    <col min="31" max="31" width="4.5703125" bestFit="1" customWidth="1"/>
    <col min="32" max="32" width="5.140625" bestFit="1" customWidth="1"/>
    <col min="33" max="33" width="8.140625" bestFit="1" customWidth="1"/>
    <col min="34" max="34" width="9.140625" bestFit="1" customWidth="1"/>
    <col min="35" max="35" width="9.28515625" bestFit="1" customWidth="1"/>
    <col min="36" max="36" width="7.7109375" bestFit="1" customWidth="1"/>
    <col min="37" max="37" width="9" bestFit="1" customWidth="1"/>
    <col min="38" max="38" width="8.85546875" bestFit="1" customWidth="1"/>
    <col min="39" max="39" width="7.7109375" bestFit="1" customWidth="1"/>
    <col min="40" max="40" width="4.5703125" bestFit="1" customWidth="1"/>
    <col min="41" max="41" width="5.140625" bestFit="1" customWidth="1"/>
    <col min="42" max="42" width="7.7109375" bestFit="1" customWidth="1"/>
    <col min="43" max="43" width="9" bestFit="1" customWidth="1"/>
    <col min="44" max="44" width="7.7109375" bestFit="1" customWidth="1"/>
    <col min="45" max="45" width="4.5703125" bestFit="1" customWidth="1"/>
    <col min="46" max="46" width="8.85546875" bestFit="1" customWidth="1"/>
    <col min="47" max="47" width="8.140625" bestFit="1" customWidth="1"/>
    <col min="48" max="48" width="9.140625" bestFit="1" customWidth="1"/>
    <col min="49" max="49" width="7.7109375" bestFit="1" customWidth="1"/>
    <col min="50" max="50" width="9" bestFit="1" customWidth="1"/>
    <col min="51" max="51" width="7.7109375" bestFit="1" customWidth="1"/>
    <col min="52" max="52" width="10.140625" bestFit="1" customWidth="1"/>
    <col min="53" max="53" width="7.7109375" bestFit="1" customWidth="1"/>
    <col min="54" max="54" width="8.140625" bestFit="1" customWidth="1"/>
    <col min="55" max="55" width="9.140625" bestFit="1" customWidth="1"/>
    <col min="56" max="56" width="7.7109375" bestFit="1" customWidth="1"/>
    <col min="57" max="57" width="9" bestFit="1" customWidth="1"/>
    <col min="58" max="58" width="7.7109375" bestFit="1" customWidth="1"/>
    <col min="59" max="59" width="4.5703125" bestFit="1" customWidth="1"/>
    <col min="60" max="60" width="5.140625" bestFit="1" customWidth="1"/>
  </cols>
  <sheetData>
    <row r="1" spans="1:60" s="7" customFormat="1" ht="24" customHeight="1" x14ac:dyDescent="0.5">
      <c r="A1" s="13"/>
      <c r="B1" s="8"/>
      <c r="C1" s="9"/>
      <c r="D1" s="9"/>
      <c r="E1" s="27" t="s">
        <v>431</v>
      </c>
      <c r="F1" s="9"/>
      <c r="G1" s="9"/>
      <c r="H1" s="9"/>
      <c r="I1" s="9"/>
      <c r="J1" s="9"/>
      <c r="K1" s="10"/>
      <c r="L1" s="9"/>
      <c r="M1" s="9"/>
      <c r="N1" s="9"/>
      <c r="O1" s="9"/>
      <c r="P1" s="9"/>
      <c r="Q1" s="9"/>
      <c r="R1" s="9"/>
      <c r="S1" s="9"/>
      <c r="T1" s="9"/>
      <c r="U1" s="9"/>
      <c r="V1" s="9"/>
      <c r="W1" s="9"/>
      <c r="X1" s="9"/>
      <c r="Y1" s="9"/>
      <c r="Z1" s="9"/>
      <c r="AA1" s="9"/>
      <c r="AB1" s="9"/>
      <c r="AC1" s="9"/>
      <c r="AD1" s="9"/>
      <c r="AE1" s="9"/>
      <c r="AF1" s="11">
        <v>0</v>
      </c>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row>
    <row r="2" spans="1:60" s="7" customFormat="1" ht="43.5" customHeight="1" x14ac:dyDescent="0.2">
      <c r="A2" s="13"/>
      <c r="B2" s="8"/>
      <c r="C2" s="9"/>
      <c r="D2" s="9"/>
      <c r="F2" s="9"/>
      <c r="G2" s="9"/>
      <c r="H2" s="9"/>
      <c r="I2" s="9"/>
      <c r="J2" s="9"/>
      <c r="K2" s="10"/>
      <c r="L2" s="9"/>
      <c r="M2" s="9"/>
      <c r="N2" s="9"/>
      <c r="O2" s="9"/>
      <c r="P2" s="9"/>
      <c r="Q2" s="9"/>
      <c r="R2" s="9"/>
      <c r="S2" s="9"/>
      <c r="T2" s="9"/>
      <c r="U2" s="9"/>
      <c r="V2" s="9"/>
      <c r="W2" s="9"/>
      <c r="X2" s="9"/>
      <c r="Y2" s="9"/>
      <c r="Z2" s="9"/>
      <c r="AA2" s="9"/>
      <c r="AB2" s="9"/>
      <c r="AC2" s="9"/>
      <c r="AD2" s="9"/>
      <c r="AE2" s="9"/>
      <c r="AF2" s="11"/>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row>
    <row r="3" spans="1:60" hidden="1" x14ac:dyDescent="0.25">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row>
    <row r="4" spans="1:60" x14ac:dyDescent="0.25">
      <c r="F4" s="1" t="s">
        <v>34</v>
      </c>
      <c r="G4" s="1" t="s">
        <v>25</v>
      </c>
    </row>
    <row r="5" spans="1:60" x14ac:dyDescent="0.25">
      <c r="F5" s="32" t="s">
        <v>59</v>
      </c>
      <c r="G5" s="33"/>
      <c r="H5" s="33"/>
      <c r="I5" s="33"/>
      <c r="J5" s="33"/>
      <c r="K5" s="33"/>
      <c r="L5" s="33"/>
      <c r="M5" s="33"/>
      <c r="N5" s="34"/>
      <c r="O5" s="6" t="s">
        <v>1</v>
      </c>
      <c r="P5" s="3"/>
      <c r="Q5" s="3"/>
      <c r="R5" s="3"/>
      <c r="S5" s="3"/>
      <c r="T5" s="3"/>
      <c r="U5" s="3"/>
      <c r="V5" s="3"/>
      <c r="W5" s="3"/>
      <c r="X5" s="2" t="s">
        <v>2</v>
      </c>
      <c r="Y5" s="2"/>
      <c r="Z5" s="2"/>
      <c r="AA5" s="2"/>
      <c r="AB5" s="2"/>
      <c r="AC5" s="2"/>
      <c r="AD5" s="2"/>
      <c r="AE5" s="2"/>
      <c r="AF5" s="2"/>
      <c r="AG5" s="28" t="s">
        <v>45</v>
      </c>
      <c r="AH5" s="29"/>
      <c r="AI5" s="29"/>
      <c r="AJ5" s="29"/>
      <c r="AK5" s="29"/>
      <c r="AL5" s="29"/>
      <c r="AM5" s="29"/>
      <c r="AN5" s="29"/>
      <c r="AO5" s="29"/>
    </row>
    <row r="6" spans="1:60" x14ac:dyDescent="0.25">
      <c r="A6" s="23" t="s">
        <v>27</v>
      </c>
      <c r="B6" s="1" t="s">
        <v>6</v>
      </c>
      <c r="C6" s="1" t="s">
        <v>4</v>
      </c>
      <c r="D6" s="24" t="s">
        <v>36</v>
      </c>
      <c r="E6" s="23" t="s">
        <v>33</v>
      </c>
      <c r="F6" t="s">
        <v>32</v>
      </c>
      <c r="G6" t="s">
        <v>43</v>
      </c>
      <c r="H6" t="s">
        <v>44</v>
      </c>
      <c r="I6" t="s">
        <v>30</v>
      </c>
      <c r="J6" t="s">
        <v>31</v>
      </c>
      <c r="K6" t="s">
        <v>35</v>
      </c>
      <c r="L6" t="s">
        <v>29</v>
      </c>
      <c r="M6" t="s">
        <v>26</v>
      </c>
      <c r="N6" t="s">
        <v>28</v>
      </c>
      <c r="O6" s="5" t="s">
        <v>32</v>
      </c>
      <c r="P6" s="5" t="s">
        <v>43</v>
      </c>
      <c r="Q6" s="14" t="s">
        <v>44</v>
      </c>
      <c r="R6" s="5" t="s">
        <v>30</v>
      </c>
      <c r="S6" s="5" t="s">
        <v>31</v>
      </c>
      <c r="T6" s="14" t="s">
        <v>35</v>
      </c>
      <c r="U6" s="5" t="s">
        <v>29</v>
      </c>
      <c r="V6" s="5" t="s">
        <v>26</v>
      </c>
      <c r="W6" s="22" t="s">
        <v>28</v>
      </c>
      <c r="X6" s="5" t="s">
        <v>32</v>
      </c>
      <c r="Y6" s="5" t="s">
        <v>43</v>
      </c>
      <c r="Z6" s="14" t="s">
        <v>44</v>
      </c>
      <c r="AA6" s="5" t="s">
        <v>30</v>
      </c>
      <c r="AB6" s="5" t="s">
        <v>31</v>
      </c>
      <c r="AC6" s="14" t="s">
        <v>35</v>
      </c>
      <c r="AD6" s="5" t="s">
        <v>29</v>
      </c>
      <c r="AE6" s="5" t="s">
        <v>26</v>
      </c>
      <c r="AF6" t="s">
        <v>28</v>
      </c>
      <c r="AG6" s="30" t="s">
        <v>32</v>
      </c>
      <c r="AH6" s="31" t="s">
        <v>43</v>
      </c>
      <c r="AI6" t="s">
        <v>44</v>
      </c>
      <c r="AJ6" s="30" t="s">
        <v>30</v>
      </c>
      <c r="AK6" s="31" t="s">
        <v>31</v>
      </c>
      <c r="AL6" t="s">
        <v>35</v>
      </c>
      <c r="AM6" s="30" t="s">
        <v>29</v>
      </c>
      <c r="AN6" s="31" t="s">
        <v>26</v>
      </c>
      <c r="AO6" t="s">
        <v>28</v>
      </c>
    </row>
    <row r="7" spans="1:60" x14ac:dyDescent="0.25">
      <c r="A7" s="25">
        <v>8</v>
      </c>
      <c r="B7" t="s">
        <v>61</v>
      </c>
      <c r="C7" t="s">
        <v>46</v>
      </c>
      <c r="D7" t="s">
        <v>60</v>
      </c>
      <c r="E7" t="s">
        <v>0</v>
      </c>
      <c r="F7" s="36">
        <v>51</v>
      </c>
      <c r="G7" s="36">
        <v>14</v>
      </c>
      <c r="H7" s="36">
        <v>65</v>
      </c>
      <c r="I7" s="4">
        <v>1911.6659999999999</v>
      </c>
      <c r="J7" s="4">
        <v>409.9</v>
      </c>
      <c r="K7" s="4">
        <v>2321.5659999999998</v>
      </c>
      <c r="L7" s="36">
        <v>25</v>
      </c>
      <c r="M7" s="36">
        <v>7</v>
      </c>
      <c r="N7" s="36">
        <v>17</v>
      </c>
      <c r="O7" s="36">
        <v>32</v>
      </c>
      <c r="P7" s="36">
        <v>8</v>
      </c>
      <c r="Q7" s="36">
        <v>40</v>
      </c>
      <c r="R7" s="4">
        <v>1199.454</v>
      </c>
      <c r="S7" s="4">
        <v>222.8</v>
      </c>
      <c r="T7" s="4">
        <v>1422.2539999999999</v>
      </c>
      <c r="U7" s="36">
        <v>25</v>
      </c>
      <c r="V7" s="36">
        <v>4</v>
      </c>
      <c r="W7" s="36">
        <v>12</v>
      </c>
      <c r="X7" s="36">
        <v>32</v>
      </c>
      <c r="Y7" s="36">
        <v>8</v>
      </c>
      <c r="Z7" s="36">
        <v>40</v>
      </c>
      <c r="AA7" s="4">
        <v>1199.454</v>
      </c>
      <c r="AB7" s="4">
        <v>223.2</v>
      </c>
      <c r="AC7" s="4">
        <v>1422.654</v>
      </c>
      <c r="AD7" s="36">
        <v>30</v>
      </c>
      <c r="AE7" s="36">
        <v>4</v>
      </c>
      <c r="AF7" s="36">
        <v>10</v>
      </c>
      <c r="AG7" s="36">
        <v>34</v>
      </c>
      <c r="AH7" s="36">
        <v>10</v>
      </c>
      <c r="AI7" s="36">
        <v>44</v>
      </c>
      <c r="AJ7" s="4">
        <v>1274.42</v>
      </c>
      <c r="AK7" s="4">
        <v>280.10000000000002</v>
      </c>
      <c r="AL7" s="4">
        <v>1554.52</v>
      </c>
      <c r="AM7" s="36">
        <v>25</v>
      </c>
      <c r="AN7" s="36">
        <v>5</v>
      </c>
      <c r="AO7" s="36">
        <v>9</v>
      </c>
    </row>
    <row r="8" spans="1:60" x14ac:dyDescent="0.25">
      <c r="A8" s="25">
        <v>11</v>
      </c>
      <c r="B8" t="s">
        <v>62</v>
      </c>
      <c r="C8" t="s">
        <v>46</v>
      </c>
      <c r="D8" t="s">
        <v>60</v>
      </c>
      <c r="E8" t="s">
        <v>63</v>
      </c>
      <c r="F8" s="36">
        <v>65</v>
      </c>
      <c r="G8" s="36">
        <v>12</v>
      </c>
      <c r="H8" s="36">
        <v>77</v>
      </c>
      <c r="I8" s="4">
        <v>1763.7439999999999</v>
      </c>
      <c r="J8" s="4">
        <v>101.2</v>
      </c>
      <c r="K8" s="4">
        <v>1864.944</v>
      </c>
      <c r="L8" s="36">
        <v>25</v>
      </c>
      <c r="M8" s="36">
        <v>4</v>
      </c>
      <c r="N8" s="36">
        <v>10</v>
      </c>
      <c r="O8" s="36">
        <v>65</v>
      </c>
      <c r="P8" s="36">
        <v>16</v>
      </c>
      <c r="Q8" s="36">
        <v>81</v>
      </c>
      <c r="R8" s="4">
        <v>1763.7439999999999</v>
      </c>
      <c r="S8" s="4">
        <v>96.1</v>
      </c>
      <c r="T8" s="4">
        <v>1859.8439999999998</v>
      </c>
      <c r="U8" s="36">
        <v>30</v>
      </c>
      <c r="V8" s="36">
        <v>4</v>
      </c>
      <c r="W8" s="36">
        <v>9</v>
      </c>
      <c r="X8" s="36">
        <v>66</v>
      </c>
      <c r="Y8" s="36">
        <v>16</v>
      </c>
      <c r="Z8" s="36">
        <v>82</v>
      </c>
      <c r="AA8" s="4">
        <v>1790.6880000000001</v>
      </c>
      <c r="AB8" s="4">
        <v>103.5</v>
      </c>
      <c r="AC8" s="4">
        <v>1894.1880000000001</v>
      </c>
      <c r="AD8" s="36">
        <v>30</v>
      </c>
      <c r="AE8" s="36">
        <v>4</v>
      </c>
      <c r="AF8" s="36">
        <v>8</v>
      </c>
      <c r="AG8" s="36">
        <v>61</v>
      </c>
      <c r="AH8" s="36">
        <v>16</v>
      </c>
      <c r="AI8" s="36">
        <v>77</v>
      </c>
      <c r="AJ8" s="4">
        <v>1655.5809999999999</v>
      </c>
      <c r="AK8" s="4">
        <v>132.9</v>
      </c>
      <c r="AL8" s="4">
        <v>1788.481</v>
      </c>
      <c r="AM8" s="36">
        <v>30</v>
      </c>
      <c r="AN8" s="36">
        <v>5</v>
      </c>
      <c r="AO8" s="36">
        <v>8</v>
      </c>
    </row>
    <row r="9" spans="1:60" x14ac:dyDescent="0.25">
      <c r="A9" s="25">
        <v>16</v>
      </c>
      <c r="B9" t="s">
        <v>110</v>
      </c>
      <c r="C9" t="s">
        <v>46</v>
      </c>
      <c r="D9" t="s">
        <v>60</v>
      </c>
      <c r="E9" t="s">
        <v>63</v>
      </c>
      <c r="F9" s="36">
        <v>35</v>
      </c>
      <c r="G9" s="36">
        <v>8</v>
      </c>
      <c r="H9" s="36">
        <v>43</v>
      </c>
      <c r="I9" s="4">
        <v>1072.6569999999999</v>
      </c>
      <c r="J9" s="4">
        <v>110.1</v>
      </c>
      <c r="K9" s="4">
        <v>1182.7569999999998</v>
      </c>
      <c r="L9" s="36">
        <v>70</v>
      </c>
      <c r="M9" s="36">
        <v>3</v>
      </c>
      <c r="N9" s="36">
        <v>8</v>
      </c>
      <c r="O9" s="36">
        <v>35</v>
      </c>
      <c r="P9" s="36">
        <v>8</v>
      </c>
      <c r="Q9" s="36">
        <v>43</v>
      </c>
      <c r="R9" s="4">
        <v>1072.6569999999999</v>
      </c>
      <c r="S9" s="4">
        <v>92.5</v>
      </c>
      <c r="T9" s="4">
        <v>1165.1569999999999</v>
      </c>
      <c r="U9" s="36">
        <v>55</v>
      </c>
      <c r="V9" s="36">
        <v>2</v>
      </c>
      <c r="W9" s="36">
        <v>6</v>
      </c>
      <c r="X9" s="36">
        <v>37</v>
      </c>
      <c r="Y9" s="36">
        <v>8</v>
      </c>
      <c r="Z9" s="36">
        <v>45</v>
      </c>
      <c r="AA9" s="4">
        <v>1135.799</v>
      </c>
      <c r="AB9" s="4">
        <v>96.3</v>
      </c>
      <c r="AC9" s="4">
        <v>1232.0989999999999</v>
      </c>
      <c r="AD9" s="36">
        <v>65</v>
      </c>
      <c r="AE9" s="36">
        <v>4</v>
      </c>
      <c r="AF9" s="36">
        <v>7</v>
      </c>
      <c r="AG9" s="36">
        <v>36</v>
      </c>
      <c r="AH9" s="36">
        <v>8</v>
      </c>
      <c r="AI9" s="36">
        <v>44</v>
      </c>
      <c r="AJ9" s="4">
        <v>1104.2280000000001</v>
      </c>
      <c r="AK9" s="4">
        <v>107.9</v>
      </c>
      <c r="AL9" s="4">
        <v>1212.1280000000002</v>
      </c>
      <c r="AM9" s="36">
        <v>40</v>
      </c>
      <c r="AN9" s="36">
        <v>3</v>
      </c>
      <c r="AO9" s="36">
        <v>7</v>
      </c>
    </row>
    <row r="10" spans="1:60" x14ac:dyDescent="0.25">
      <c r="A10" s="25">
        <v>17</v>
      </c>
      <c r="B10" t="s">
        <v>144</v>
      </c>
      <c r="C10" t="s">
        <v>46</v>
      </c>
      <c r="D10" t="s">
        <v>60</v>
      </c>
      <c r="E10" t="s">
        <v>63</v>
      </c>
      <c r="F10" s="36">
        <v>80</v>
      </c>
      <c r="G10" s="36">
        <v>26</v>
      </c>
      <c r="H10" s="36">
        <v>106</v>
      </c>
      <c r="I10" s="4">
        <v>1966.3510000000001</v>
      </c>
      <c r="J10" s="4">
        <v>590</v>
      </c>
      <c r="K10" s="4">
        <v>2556.3510000000001</v>
      </c>
      <c r="L10" s="36">
        <v>20</v>
      </c>
      <c r="M10" s="36">
        <v>12</v>
      </c>
      <c r="N10" s="36">
        <v>23</v>
      </c>
      <c r="O10" s="36">
        <v>68</v>
      </c>
      <c r="P10" s="36">
        <v>16</v>
      </c>
      <c r="Q10" s="36">
        <v>84</v>
      </c>
      <c r="R10" s="4">
        <v>1671.5889999999999</v>
      </c>
      <c r="S10" s="4">
        <v>385</v>
      </c>
      <c r="T10" s="4">
        <v>2056.5889999999999</v>
      </c>
      <c r="U10" s="36">
        <v>25</v>
      </c>
      <c r="V10" s="36">
        <v>8</v>
      </c>
      <c r="W10" s="36">
        <v>18</v>
      </c>
      <c r="X10" s="36">
        <v>68</v>
      </c>
      <c r="Y10" s="36">
        <v>16</v>
      </c>
      <c r="Z10" s="36">
        <v>84</v>
      </c>
      <c r="AA10" s="4">
        <v>1671.5889999999999</v>
      </c>
      <c r="AB10" s="4">
        <v>385</v>
      </c>
      <c r="AC10" s="4">
        <v>2056.5889999999999</v>
      </c>
      <c r="AD10" s="36">
        <v>30</v>
      </c>
      <c r="AE10" s="36">
        <v>8</v>
      </c>
      <c r="AF10" s="36">
        <v>17</v>
      </c>
      <c r="AG10" s="36">
        <v>66</v>
      </c>
      <c r="AH10" s="36">
        <v>16</v>
      </c>
      <c r="AI10" s="36">
        <v>82</v>
      </c>
      <c r="AJ10" s="4">
        <v>1621.191</v>
      </c>
      <c r="AK10" s="4">
        <v>389.2</v>
      </c>
      <c r="AL10" s="4">
        <v>2010.3910000000001</v>
      </c>
      <c r="AM10" s="36">
        <v>25</v>
      </c>
      <c r="AN10" s="36">
        <v>8</v>
      </c>
      <c r="AO10" s="36">
        <v>16</v>
      </c>
    </row>
    <row r="11" spans="1:60" x14ac:dyDescent="0.25">
      <c r="A11" s="25">
        <v>22</v>
      </c>
      <c r="B11" t="s">
        <v>70</v>
      </c>
      <c r="C11" t="s">
        <v>46</v>
      </c>
      <c r="D11" t="s">
        <v>60</v>
      </c>
      <c r="E11" t="s">
        <v>0</v>
      </c>
      <c r="F11" s="36">
        <v>50</v>
      </c>
      <c r="G11" s="36">
        <v>10</v>
      </c>
      <c r="H11" s="36">
        <v>60</v>
      </c>
      <c r="I11" s="4">
        <v>757.80799999999999</v>
      </c>
      <c r="J11" s="4">
        <v>209.79</v>
      </c>
      <c r="K11" s="4">
        <v>967.59799999999996</v>
      </c>
      <c r="L11" s="36">
        <v>20</v>
      </c>
      <c r="M11" s="36">
        <v>4</v>
      </c>
      <c r="N11" s="36">
        <v>8</v>
      </c>
      <c r="O11" s="36">
        <v>50</v>
      </c>
      <c r="P11" s="36">
        <v>12</v>
      </c>
      <c r="Q11" s="36">
        <v>62</v>
      </c>
      <c r="R11" s="4">
        <v>733.25199999999995</v>
      </c>
      <c r="S11" s="4">
        <v>208.16</v>
      </c>
      <c r="T11" s="4">
        <v>941.41199999999992</v>
      </c>
      <c r="U11" s="36">
        <v>15</v>
      </c>
      <c r="V11" s="36">
        <v>4</v>
      </c>
      <c r="W11" s="36">
        <v>8</v>
      </c>
      <c r="X11" s="36">
        <v>32</v>
      </c>
      <c r="Y11" s="36">
        <v>4</v>
      </c>
      <c r="Z11" s="36">
        <v>36</v>
      </c>
      <c r="AA11" s="4">
        <v>437.65</v>
      </c>
      <c r="AB11" s="4">
        <v>93.8</v>
      </c>
      <c r="AC11" s="4">
        <v>531.44999999999993</v>
      </c>
      <c r="AD11" s="36">
        <v>25</v>
      </c>
      <c r="AE11" s="36">
        <v>2</v>
      </c>
      <c r="AF11" s="36">
        <v>4</v>
      </c>
      <c r="AG11" s="36"/>
      <c r="AH11" s="36"/>
      <c r="AI11" s="36">
        <v>0</v>
      </c>
      <c r="AJ11" s="4"/>
      <c r="AK11" s="4"/>
      <c r="AL11" s="4">
        <v>0</v>
      </c>
      <c r="AM11" s="36"/>
      <c r="AN11" s="36"/>
      <c r="AO11" s="36"/>
    </row>
    <row r="12" spans="1:60" x14ac:dyDescent="0.25">
      <c r="A12" s="25">
        <v>24</v>
      </c>
      <c r="B12" t="s">
        <v>71</v>
      </c>
      <c r="C12" t="s">
        <v>46</v>
      </c>
      <c r="D12" t="s">
        <v>60</v>
      </c>
      <c r="E12" t="s">
        <v>47</v>
      </c>
      <c r="F12" s="36">
        <v>121</v>
      </c>
      <c r="G12" s="36">
        <v>42</v>
      </c>
      <c r="H12" s="36">
        <v>163</v>
      </c>
      <c r="I12" s="4">
        <v>2221.223</v>
      </c>
      <c r="J12" s="4">
        <v>822.85</v>
      </c>
      <c r="K12" s="4">
        <v>3044.0729999999999</v>
      </c>
      <c r="L12" s="36">
        <v>12</v>
      </c>
      <c r="M12" s="36">
        <v>15</v>
      </c>
      <c r="N12" s="36">
        <v>27</v>
      </c>
      <c r="O12" s="36">
        <v>108</v>
      </c>
      <c r="P12" s="36">
        <v>34</v>
      </c>
      <c r="Q12" s="36">
        <v>142</v>
      </c>
      <c r="R12" s="4">
        <v>1986.9649999999999</v>
      </c>
      <c r="S12" s="4">
        <v>578.45000000000005</v>
      </c>
      <c r="T12" s="4">
        <v>2565.415</v>
      </c>
      <c r="U12" s="36">
        <v>15</v>
      </c>
      <c r="V12" s="36">
        <v>10</v>
      </c>
      <c r="W12" s="36">
        <v>19</v>
      </c>
      <c r="X12" s="36">
        <v>81</v>
      </c>
      <c r="Y12" s="36">
        <v>20</v>
      </c>
      <c r="Z12" s="36">
        <v>101</v>
      </c>
      <c r="AA12" s="4">
        <v>1487.4010000000001</v>
      </c>
      <c r="AB12" s="4">
        <v>369.35</v>
      </c>
      <c r="AC12" s="4">
        <v>1856.7510000000002</v>
      </c>
      <c r="AD12" s="36">
        <v>20</v>
      </c>
      <c r="AE12" s="36">
        <v>7</v>
      </c>
      <c r="AF12" s="36">
        <v>14</v>
      </c>
      <c r="AG12" s="36">
        <v>68</v>
      </c>
      <c r="AH12" s="36">
        <v>16</v>
      </c>
      <c r="AI12" s="36">
        <v>84</v>
      </c>
      <c r="AJ12" s="4">
        <v>1250.32</v>
      </c>
      <c r="AK12" s="4">
        <v>315.5</v>
      </c>
      <c r="AL12" s="4">
        <v>1565.82</v>
      </c>
      <c r="AM12" s="36">
        <v>20</v>
      </c>
      <c r="AN12" s="36">
        <v>6</v>
      </c>
      <c r="AO12" s="36">
        <v>13</v>
      </c>
    </row>
    <row r="13" spans="1:60" x14ac:dyDescent="0.25">
      <c r="A13" s="25">
        <v>31</v>
      </c>
      <c r="B13" t="s">
        <v>149</v>
      </c>
      <c r="C13" t="s">
        <v>46</v>
      </c>
      <c r="D13" t="s">
        <v>60</v>
      </c>
      <c r="E13" t="s">
        <v>63</v>
      </c>
      <c r="F13" s="36">
        <v>41</v>
      </c>
      <c r="G13" s="36">
        <v>10</v>
      </c>
      <c r="H13" s="36">
        <v>51</v>
      </c>
      <c r="I13" s="4">
        <v>752.39099999999996</v>
      </c>
      <c r="J13" s="4">
        <v>83.5</v>
      </c>
      <c r="K13" s="4">
        <v>835.89099999999996</v>
      </c>
      <c r="L13" s="36">
        <v>20</v>
      </c>
      <c r="M13" s="36">
        <v>4</v>
      </c>
      <c r="N13" s="36">
        <v>8</v>
      </c>
      <c r="O13" s="36">
        <v>41</v>
      </c>
      <c r="P13" s="36">
        <v>10</v>
      </c>
      <c r="Q13" s="36">
        <v>51</v>
      </c>
      <c r="R13" s="4">
        <v>752.39099999999996</v>
      </c>
      <c r="S13" s="4">
        <v>83.5</v>
      </c>
      <c r="T13" s="4">
        <v>835.89099999999996</v>
      </c>
      <c r="U13" s="36">
        <v>20</v>
      </c>
      <c r="V13" s="36">
        <v>4</v>
      </c>
      <c r="W13" s="36">
        <v>8</v>
      </c>
      <c r="X13" s="36">
        <v>41</v>
      </c>
      <c r="Y13" s="36">
        <v>10</v>
      </c>
      <c r="Z13" s="36">
        <v>51</v>
      </c>
      <c r="AA13" s="4">
        <v>752.39099999999996</v>
      </c>
      <c r="AB13" s="4">
        <v>83.5</v>
      </c>
      <c r="AC13" s="4">
        <v>835.89099999999996</v>
      </c>
      <c r="AD13" s="36">
        <v>20</v>
      </c>
      <c r="AE13" s="36">
        <v>4</v>
      </c>
      <c r="AF13" s="36">
        <v>8</v>
      </c>
      <c r="AG13" s="36">
        <v>41</v>
      </c>
      <c r="AH13" s="36">
        <v>10</v>
      </c>
      <c r="AI13" s="36">
        <v>51</v>
      </c>
      <c r="AJ13" s="4">
        <v>752.39099999999996</v>
      </c>
      <c r="AK13" s="4">
        <v>83.5</v>
      </c>
      <c r="AL13" s="4">
        <v>835.89099999999996</v>
      </c>
      <c r="AM13" s="36">
        <v>20</v>
      </c>
      <c r="AN13" s="36">
        <v>4</v>
      </c>
      <c r="AO13" s="36">
        <v>8</v>
      </c>
    </row>
    <row r="14" spans="1:60" x14ac:dyDescent="0.25">
      <c r="A14" s="25">
        <v>43</v>
      </c>
      <c r="B14" t="s">
        <v>143</v>
      </c>
      <c r="C14" t="s">
        <v>46</v>
      </c>
      <c r="D14" t="s">
        <v>60</v>
      </c>
      <c r="E14" t="s">
        <v>0</v>
      </c>
      <c r="F14" s="36"/>
      <c r="G14" s="36"/>
      <c r="H14" s="36">
        <v>0</v>
      </c>
      <c r="I14" s="4"/>
      <c r="J14" s="4"/>
      <c r="K14" s="4">
        <v>0</v>
      </c>
      <c r="L14" s="36"/>
      <c r="M14" s="36"/>
      <c r="N14" s="36"/>
      <c r="O14" s="36">
        <v>20</v>
      </c>
      <c r="P14" s="36">
        <v>4</v>
      </c>
      <c r="Q14" s="36">
        <v>24</v>
      </c>
      <c r="R14" s="4">
        <v>330.60300000000001</v>
      </c>
      <c r="S14" s="4">
        <v>131.80000000000001</v>
      </c>
      <c r="T14" s="4">
        <v>462.40300000000002</v>
      </c>
      <c r="U14" s="36">
        <v>30</v>
      </c>
      <c r="V14" s="36">
        <v>2</v>
      </c>
      <c r="W14" s="36">
        <v>4</v>
      </c>
      <c r="X14" s="36"/>
      <c r="Y14" s="36"/>
      <c r="Z14" s="36">
        <v>0</v>
      </c>
      <c r="AA14" s="4"/>
      <c r="AB14" s="4"/>
      <c r="AC14" s="4">
        <v>0</v>
      </c>
      <c r="AD14" s="36"/>
      <c r="AE14" s="36"/>
      <c r="AF14" s="36"/>
      <c r="AG14" s="36"/>
      <c r="AH14" s="36"/>
      <c r="AI14" s="36">
        <v>0</v>
      </c>
      <c r="AJ14" s="4"/>
      <c r="AK14" s="4"/>
      <c r="AL14" s="4">
        <v>0</v>
      </c>
      <c r="AM14" s="36"/>
      <c r="AN14" s="36"/>
      <c r="AO14" s="36"/>
    </row>
    <row r="15" spans="1:60" x14ac:dyDescent="0.25">
      <c r="A15" s="25">
        <v>44</v>
      </c>
      <c r="B15" t="s">
        <v>117</v>
      </c>
      <c r="C15" t="s">
        <v>46</v>
      </c>
      <c r="D15" t="s">
        <v>60</v>
      </c>
      <c r="E15" t="s">
        <v>0</v>
      </c>
      <c r="F15" s="36">
        <v>59</v>
      </c>
      <c r="G15" s="36">
        <v>24</v>
      </c>
      <c r="H15" s="36">
        <v>83</v>
      </c>
      <c r="I15" s="4">
        <v>1878.3989999999999</v>
      </c>
      <c r="J15" s="4">
        <v>360.9</v>
      </c>
      <c r="K15" s="4">
        <v>2239.299</v>
      </c>
      <c r="L15" s="36">
        <v>30</v>
      </c>
      <c r="M15" s="36">
        <v>8</v>
      </c>
      <c r="N15" s="36">
        <v>17</v>
      </c>
      <c r="O15" s="36">
        <v>42</v>
      </c>
      <c r="P15" s="36">
        <v>16</v>
      </c>
      <c r="Q15" s="36">
        <v>58</v>
      </c>
      <c r="R15" s="4">
        <v>1341.6410000000001</v>
      </c>
      <c r="S15" s="4">
        <v>130.9</v>
      </c>
      <c r="T15" s="4">
        <v>1472.5410000000002</v>
      </c>
      <c r="U15" s="36">
        <v>30</v>
      </c>
      <c r="V15" s="36">
        <v>5</v>
      </c>
      <c r="W15" s="36">
        <v>11</v>
      </c>
      <c r="X15" s="36">
        <v>46</v>
      </c>
      <c r="Y15" s="36">
        <v>18</v>
      </c>
      <c r="Z15" s="36">
        <v>64</v>
      </c>
      <c r="AA15" s="4">
        <v>1469.1020000000001</v>
      </c>
      <c r="AB15" s="4">
        <v>234.9</v>
      </c>
      <c r="AC15" s="4">
        <v>1704.0020000000002</v>
      </c>
      <c r="AD15" s="36">
        <v>30</v>
      </c>
      <c r="AE15" s="36">
        <v>6</v>
      </c>
      <c r="AF15" s="36">
        <v>12</v>
      </c>
      <c r="AG15" s="36">
        <v>35</v>
      </c>
      <c r="AH15" s="36">
        <v>8</v>
      </c>
      <c r="AI15" s="36">
        <v>43</v>
      </c>
      <c r="AJ15" s="4">
        <v>1116.934</v>
      </c>
      <c r="AK15" s="4">
        <v>143.30000000000001</v>
      </c>
      <c r="AL15" s="4">
        <v>1260.2339999999999</v>
      </c>
      <c r="AM15" s="36">
        <v>29</v>
      </c>
      <c r="AN15" s="36">
        <v>4</v>
      </c>
      <c r="AO15" s="36">
        <v>8</v>
      </c>
    </row>
    <row r="16" spans="1:60" x14ac:dyDescent="0.25">
      <c r="A16" s="25">
        <v>50</v>
      </c>
      <c r="B16" t="s">
        <v>118</v>
      </c>
      <c r="C16" t="s">
        <v>46</v>
      </c>
      <c r="D16" t="s">
        <v>60</v>
      </c>
      <c r="E16" t="s">
        <v>0</v>
      </c>
      <c r="F16" s="36">
        <v>86</v>
      </c>
      <c r="G16" s="36">
        <v>28</v>
      </c>
      <c r="H16" s="36">
        <v>114</v>
      </c>
      <c r="I16" s="4">
        <v>3368.56</v>
      </c>
      <c r="J16" s="4">
        <v>430.15</v>
      </c>
      <c r="K16" s="4">
        <v>3798.71</v>
      </c>
      <c r="L16" s="36">
        <v>20</v>
      </c>
      <c r="M16" s="36">
        <v>12</v>
      </c>
      <c r="N16" s="36">
        <v>23</v>
      </c>
      <c r="O16" s="36">
        <v>86</v>
      </c>
      <c r="P16" s="36">
        <v>28</v>
      </c>
      <c r="Q16" s="36">
        <v>114</v>
      </c>
      <c r="R16" s="4">
        <v>3368.56</v>
      </c>
      <c r="S16" s="4">
        <v>393.65</v>
      </c>
      <c r="T16" s="4">
        <v>3762.21</v>
      </c>
      <c r="U16" s="36">
        <v>20</v>
      </c>
      <c r="V16" s="36">
        <v>11</v>
      </c>
      <c r="W16" s="36">
        <v>24</v>
      </c>
      <c r="X16" s="36">
        <v>34</v>
      </c>
      <c r="Y16" s="36">
        <v>8</v>
      </c>
      <c r="Z16" s="36">
        <v>42</v>
      </c>
      <c r="AA16" s="4">
        <v>1331.287</v>
      </c>
      <c r="AB16" s="4">
        <v>102.1</v>
      </c>
      <c r="AC16" s="4">
        <v>1433.3869999999999</v>
      </c>
      <c r="AD16" s="36">
        <v>30</v>
      </c>
      <c r="AE16" s="36">
        <v>4</v>
      </c>
      <c r="AF16" s="36">
        <v>8</v>
      </c>
      <c r="AG16" s="36">
        <v>52</v>
      </c>
      <c r="AH16" s="36">
        <v>12</v>
      </c>
      <c r="AI16" s="36">
        <v>64</v>
      </c>
      <c r="AJ16" s="4">
        <v>2036.086</v>
      </c>
      <c r="AK16" s="4">
        <v>170.6</v>
      </c>
      <c r="AL16" s="4">
        <v>2206.6860000000001</v>
      </c>
      <c r="AM16" s="36">
        <v>30</v>
      </c>
      <c r="AN16" s="36">
        <v>6</v>
      </c>
      <c r="AO16" s="36">
        <v>13</v>
      </c>
    </row>
    <row r="17" spans="1:41" x14ac:dyDescent="0.25">
      <c r="A17" s="25">
        <v>53</v>
      </c>
      <c r="B17" t="s">
        <v>74</v>
      </c>
      <c r="C17" t="s">
        <v>46</v>
      </c>
      <c r="D17" t="s">
        <v>60</v>
      </c>
      <c r="E17" t="s">
        <v>0</v>
      </c>
      <c r="F17" s="36">
        <v>86</v>
      </c>
      <c r="G17" s="36">
        <v>24</v>
      </c>
      <c r="H17" s="36">
        <v>110</v>
      </c>
      <c r="I17" s="4">
        <v>2842.6010000000001</v>
      </c>
      <c r="J17" s="4">
        <v>447.1</v>
      </c>
      <c r="K17" s="4">
        <v>3289.701</v>
      </c>
      <c r="L17" s="36">
        <v>20</v>
      </c>
      <c r="M17" s="36">
        <v>12</v>
      </c>
      <c r="N17" s="36">
        <v>26</v>
      </c>
      <c r="O17" s="36">
        <v>66</v>
      </c>
      <c r="P17" s="36">
        <v>14</v>
      </c>
      <c r="Q17" s="36">
        <v>80</v>
      </c>
      <c r="R17" s="4">
        <v>2181.5309999999999</v>
      </c>
      <c r="S17" s="4">
        <v>264.89999999999998</v>
      </c>
      <c r="T17" s="4">
        <v>2446.431</v>
      </c>
      <c r="U17" s="36">
        <v>20</v>
      </c>
      <c r="V17" s="36">
        <v>7</v>
      </c>
      <c r="W17" s="36">
        <v>15</v>
      </c>
      <c r="X17" s="36">
        <v>78</v>
      </c>
      <c r="Y17" s="36">
        <v>18</v>
      </c>
      <c r="Z17" s="36">
        <v>96</v>
      </c>
      <c r="AA17" s="4">
        <v>2578.1729999999998</v>
      </c>
      <c r="AB17" s="4">
        <v>298.5</v>
      </c>
      <c r="AC17" s="4">
        <v>2876.6729999999998</v>
      </c>
      <c r="AD17" s="36">
        <v>20</v>
      </c>
      <c r="AE17" s="36">
        <v>9</v>
      </c>
      <c r="AF17" s="36">
        <v>22</v>
      </c>
      <c r="AG17" s="36">
        <v>98</v>
      </c>
      <c r="AH17" s="36">
        <v>20</v>
      </c>
      <c r="AI17" s="36">
        <v>118</v>
      </c>
      <c r="AJ17" s="4">
        <v>3239.2429999999999</v>
      </c>
      <c r="AK17" s="4">
        <v>462.6</v>
      </c>
      <c r="AL17" s="4">
        <v>3701.8429999999998</v>
      </c>
      <c r="AM17" s="36">
        <v>20</v>
      </c>
      <c r="AN17" s="36">
        <v>10</v>
      </c>
      <c r="AO17" s="36">
        <v>23</v>
      </c>
    </row>
    <row r="18" spans="1:41" x14ac:dyDescent="0.25">
      <c r="A18" s="25">
        <v>55</v>
      </c>
      <c r="B18" t="s">
        <v>48</v>
      </c>
      <c r="C18" t="s">
        <v>46</v>
      </c>
      <c r="D18" t="s">
        <v>60</v>
      </c>
      <c r="E18" t="s">
        <v>0</v>
      </c>
      <c r="F18" s="36">
        <v>60</v>
      </c>
      <c r="G18" s="36">
        <v>18</v>
      </c>
      <c r="H18" s="36">
        <v>78</v>
      </c>
      <c r="I18" s="4">
        <v>1590.481</v>
      </c>
      <c r="J18" s="4">
        <v>162.80000000000001</v>
      </c>
      <c r="K18" s="4">
        <v>1753.2809999999999</v>
      </c>
      <c r="L18" s="36">
        <v>25</v>
      </c>
      <c r="M18" s="36">
        <v>7</v>
      </c>
      <c r="N18" s="36">
        <v>13</v>
      </c>
      <c r="O18" s="36">
        <v>68</v>
      </c>
      <c r="P18" s="36">
        <v>24</v>
      </c>
      <c r="Q18" s="36">
        <v>92</v>
      </c>
      <c r="R18" s="4">
        <v>1802.325</v>
      </c>
      <c r="S18" s="4">
        <v>281</v>
      </c>
      <c r="T18" s="4">
        <v>2083.3249999999998</v>
      </c>
      <c r="U18" s="36">
        <v>20</v>
      </c>
      <c r="V18" s="36">
        <v>9</v>
      </c>
      <c r="W18" s="36">
        <v>17</v>
      </c>
      <c r="X18" s="36">
        <v>60</v>
      </c>
      <c r="Y18" s="36">
        <v>16</v>
      </c>
      <c r="Z18" s="36">
        <v>76</v>
      </c>
      <c r="AA18" s="4">
        <v>1590.481</v>
      </c>
      <c r="AB18" s="4">
        <v>161</v>
      </c>
      <c r="AC18" s="4">
        <v>1751.481</v>
      </c>
      <c r="AD18" s="36">
        <v>25</v>
      </c>
      <c r="AE18" s="36">
        <v>7</v>
      </c>
      <c r="AF18" s="36">
        <v>13</v>
      </c>
      <c r="AG18" s="36">
        <v>53</v>
      </c>
      <c r="AH18" s="36">
        <v>8</v>
      </c>
      <c r="AI18" s="36">
        <v>61</v>
      </c>
      <c r="AJ18" s="4">
        <v>1402.6410000000001</v>
      </c>
      <c r="AK18" s="4">
        <v>125.9</v>
      </c>
      <c r="AL18" s="4">
        <v>1528.5410000000002</v>
      </c>
      <c r="AM18" s="36">
        <v>25</v>
      </c>
      <c r="AN18" s="36">
        <v>4</v>
      </c>
      <c r="AO18" s="36">
        <v>8</v>
      </c>
    </row>
    <row r="19" spans="1:41" x14ac:dyDescent="0.25">
      <c r="A19" s="25">
        <v>64</v>
      </c>
      <c r="B19" t="s">
        <v>75</v>
      </c>
      <c r="C19" t="s">
        <v>46</v>
      </c>
      <c r="D19" t="s">
        <v>60</v>
      </c>
      <c r="E19" t="s">
        <v>76</v>
      </c>
      <c r="F19" s="36">
        <v>88</v>
      </c>
      <c r="G19" s="36">
        <v>44</v>
      </c>
      <c r="H19" s="36">
        <v>132</v>
      </c>
      <c r="I19" s="4">
        <v>2910.556</v>
      </c>
      <c r="J19" s="4">
        <v>803.58600000000001</v>
      </c>
      <c r="K19" s="4">
        <v>3714.1419999999998</v>
      </c>
      <c r="L19" s="36">
        <v>15</v>
      </c>
      <c r="M19" s="36">
        <v>14</v>
      </c>
      <c r="N19" s="36">
        <v>28</v>
      </c>
      <c r="O19" s="36">
        <v>73</v>
      </c>
      <c r="P19" s="36">
        <v>30</v>
      </c>
      <c r="Q19" s="36">
        <v>103</v>
      </c>
      <c r="R19" s="4">
        <v>2413.9340000000002</v>
      </c>
      <c r="S19" s="4">
        <v>605.66200000000003</v>
      </c>
      <c r="T19" s="4">
        <v>3019.5960000000005</v>
      </c>
      <c r="U19" s="36">
        <v>20</v>
      </c>
      <c r="V19" s="36">
        <v>11</v>
      </c>
      <c r="W19" s="36">
        <v>21</v>
      </c>
      <c r="X19" s="36">
        <v>69</v>
      </c>
      <c r="Y19" s="36">
        <v>20</v>
      </c>
      <c r="Z19" s="36">
        <v>89</v>
      </c>
      <c r="AA19" s="4">
        <v>2281.636</v>
      </c>
      <c r="AB19" s="4">
        <v>478.8</v>
      </c>
      <c r="AC19" s="4">
        <v>2760.4360000000001</v>
      </c>
      <c r="AD19" s="36">
        <v>25</v>
      </c>
      <c r="AE19" s="36">
        <v>9</v>
      </c>
      <c r="AF19" s="36">
        <v>17</v>
      </c>
      <c r="AG19" s="36">
        <v>62</v>
      </c>
      <c r="AH19" s="36">
        <v>12</v>
      </c>
      <c r="AI19" s="36">
        <v>74</v>
      </c>
      <c r="AJ19" s="4">
        <v>2050.6190000000001</v>
      </c>
      <c r="AK19" s="4">
        <v>297</v>
      </c>
      <c r="AL19" s="4">
        <v>2347.6190000000001</v>
      </c>
      <c r="AM19" s="36">
        <v>25</v>
      </c>
      <c r="AN19" s="36">
        <v>6</v>
      </c>
      <c r="AO19" s="36">
        <v>14</v>
      </c>
    </row>
    <row r="20" spans="1:41" x14ac:dyDescent="0.25">
      <c r="A20" s="25">
        <v>77</v>
      </c>
      <c r="B20" t="s">
        <v>150</v>
      </c>
      <c r="C20" t="s">
        <v>46</v>
      </c>
      <c r="D20" t="s">
        <v>60</v>
      </c>
      <c r="E20" t="s">
        <v>0</v>
      </c>
      <c r="F20" s="36">
        <v>87</v>
      </c>
      <c r="G20" s="36">
        <v>18</v>
      </c>
      <c r="H20" s="36">
        <v>105</v>
      </c>
      <c r="I20" s="4">
        <v>1064.152</v>
      </c>
      <c r="J20" s="4">
        <v>351.4</v>
      </c>
      <c r="K20" s="4">
        <v>1415.5520000000001</v>
      </c>
      <c r="L20" s="36">
        <v>20</v>
      </c>
      <c r="M20" s="36">
        <v>7</v>
      </c>
      <c r="N20" s="36">
        <v>13</v>
      </c>
      <c r="O20" s="36">
        <v>90</v>
      </c>
      <c r="P20" s="36">
        <v>14</v>
      </c>
      <c r="Q20" s="36">
        <v>104</v>
      </c>
      <c r="R20" s="4">
        <v>1100.925</v>
      </c>
      <c r="S20" s="4">
        <v>287.89999999999998</v>
      </c>
      <c r="T20" s="4">
        <v>1388.8249999999998</v>
      </c>
      <c r="U20" s="36">
        <v>20</v>
      </c>
      <c r="V20" s="36">
        <v>6</v>
      </c>
      <c r="W20" s="36">
        <v>12</v>
      </c>
      <c r="X20" s="36">
        <v>82</v>
      </c>
      <c r="Y20" s="36">
        <v>14</v>
      </c>
      <c r="Z20" s="36">
        <v>96</v>
      </c>
      <c r="AA20" s="4">
        <v>1003.0650000000001</v>
      </c>
      <c r="AB20" s="4">
        <v>261.89999999999998</v>
      </c>
      <c r="AC20" s="4">
        <v>1264.9650000000001</v>
      </c>
      <c r="AD20" s="36">
        <v>30</v>
      </c>
      <c r="AE20" s="36">
        <v>5</v>
      </c>
      <c r="AF20" s="36">
        <v>12</v>
      </c>
      <c r="AG20" s="36">
        <v>70</v>
      </c>
      <c r="AH20" s="36">
        <v>10</v>
      </c>
      <c r="AI20" s="36">
        <v>80</v>
      </c>
      <c r="AJ20" s="4">
        <v>856.27499999999998</v>
      </c>
      <c r="AK20" s="4">
        <v>196.2</v>
      </c>
      <c r="AL20" s="4">
        <v>1052.4749999999999</v>
      </c>
      <c r="AM20" s="36">
        <v>20</v>
      </c>
      <c r="AN20" s="36">
        <v>5</v>
      </c>
      <c r="AO20" s="36">
        <v>10</v>
      </c>
    </row>
    <row r="21" spans="1:41" x14ac:dyDescent="0.25">
      <c r="A21" s="25">
        <v>88</v>
      </c>
      <c r="B21" t="s">
        <v>119</v>
      </c>
      <c r="C21" t="s">
        <v>46</v>
      </c>
      <c r="D21" t="s">
        <v>60</v>
      </c>
      <c r="E21" t="s">
        <v>0</v>
      </c>
      <c r="F21" s="36">
        <v>36</v>
      </c>
      <c r="G21" s="36">
        <v>10</v>
      </c>
      <c r="H21" s="36">
        <v>46</v>
      </c>
      <c r="I21" s="4">
        <v>1109.3710000000001</v>
      </c>
      <c r="J21" s="4">
        <v>271.3</v>
      </c>
      <c r="K21" s="4">
        <v>1380.671</v>
      </c>
      <c r="L21" s="36">
        <v>25</v>
      </c>
      <c r="M21" s="36">
        <v>5</v>
      </c>
      <c r="N21" s="36">
        <v>10</v>
      </c>
      <c r="O21" s="36">
        <v>19</v>
      </c>
      <c r="P21" s="36">
        <v>6</v>
      </c>
      <c r="Q21" s="36">
        <v>25</v>
      </c>
      <c r="R21" s="4">
        <v>585.54300000000001</v>
      </c>
      <c r="S21" s="4">
        <v>159.1</v>
      </c>
      <c r="T21" s="4">
        <v>744.64300000000003</v>
      </c>
      <c r="U21" s="36">
        <v>30</v>
      </c>
      <c r="V21" s="36">
        <v>3</v>
      </c>
      <c r="W21" s="36">
        <v>6</v>
      </c>
      <c r="X21" s="36"/>
      <c r="Y21" s="36"/>
      <c r="Z21" s="36">
        <v>0</v>
      </c>
      <c r="AA21" s="4"/>
      <c r="AB21" s="4"/>
      <c r="AC21" s="4">
        <v>0</v>
      </c>
      <c r="AD21" s="36"/>
      <c r="AE21" s="36"/>
      <c r="AF21" s="36"/>
      <c r="AG21" s="36">
        <v>30</v>
      </c>
      <c r="AH21" s="36">
        <v>8</v>
      </c>
      <c r="AI21" s="36">
        <v>38</v>
      </c>
      <c r="AJ21" s="4">
        <v>925.72500000000002</v>
      </c>
      <c r="AK21" s="4">
        <v>187.6</v>
      </c>
      <c r="AL21" s="4">
        <v>1113.325</v>
      </c>
      <c r="AM21" s="36">
        <v>30</v>
      </c>
      <c r="AN21" s="36">
        <v>4</v>
      </c>
      <c r="AO21" s="36">
        <v>8</v>
      </c>
    </row>
    <row r="22" spans="1:41" x14ac:dyDescent="0.25">
      <c r="A22" s="25">
        <v>310</v>
      </c>
      <c r="B22" t="s">
        <v>72</v>
      </c>
      <c r="C22" t="s">
        <v>46</v>
      </c>
      <c r="D22" t="s">
        <v>60</v>
      </c>
      <c r="E22" t="s">
        <v>0</v>
      </c>
      <c r="F22" s="36">
        <v>124</v>
      </c>
      <c r="G22" s="36">
        <v>42</v>
      </c>
      <c r="H22" s="36">
        <v>166</v>
      </c>
      <c r="I22" s="4">
        <v>3586.8209999999999</v>
      </c>
      <c r="J22" s="4">
        <v>364.8</v>
      </c>
      <c r="K22" s="4">
        <v>3951.6210000000001</v>
      </c>
      <c r="L22" s="36">
        <v>6</v>
      </c>
      <c r="M22" s="36">
        <v>13</v>
      </c>
      <c r="N22" s="36">
        <v>26</v>
      </c>
      <c r="O22" s="36">
        <v>124</v>
      </c>
      <c r="P22" s="36">
        <v>34</v>
      </c>
      <c r="Q22" s="36">
        <v>158</v>
      </c>
      <c r="R22" s="4">
        <v>3623.5889999999999</v>
      </c>
      <c r="S22" s="4">
        <v>332.1</v>
      </c>
      <c r="T22" s="4">
        <v>3955.6889999999999</v>
      </c>
      <c r="U22" s="36">
        <v>7</v>
      </c>
      <c r="V22" s="36">
        <v>11</v>
      </c>
      <c r="W22" s="36">
        <v>22</v>
      </c>
      <c r="X22" s="36">
        <v>99</v>
      </c>
      <c r="Y22" s="36">
        <v>20</v>
      </c>
      <c r="Z22" s="36">
        <v>119</v>
      </c>
      <c r="AA22" s="4">
        <v>2917.9929999999999</v>
      </c>
      <c r="AB22" s="4">
        <v>205.3</v>
      </c>
      <c r="AC22" s="4">
        <v>3123.2930000000001</v>
      </c>
      <c r="AD22" s="36">
        <v>9</v>
      </c>
      <c r="AE22" s="36">
        <v>9</v>
      </c>
      <c r="AF22" s="36">
        <v>15</v>
      </c>
      <c r="AG22" s="36">
        <v>88</v>
      </c>
      <c r="AH22" s="36">
        <v>18</v>
      </c>
      <c r="AI22" s="36">
        <v>106</v>
      </c>
      <c r="AJ22" s="4">
        <v>2615.6280000000002</v>
      </c>
      <c r="AK22" s="4">
        <v>246.5</v>
      </c>
      <c r="AL22" s="4">
        <v>2862.1280000000002</v>
      </c>
      <c r="AM22" s="36">
        <v>8</v>
      </c>
      <c r="AN22" s="36">
        <v>9</v>
      </c>
      <c r="AO22" s="36">
        <v>14</v>
      </c>
    </row>
    <row r="23" spans="1:41" x14ac:dyDescent="0.25">
      <c r="A23" s="25">
        <v>320</v>
      </c>
      <c r="B23" t="s">
        <v>73</v>
      </c>
      <c r="C23" t="s">
        <v>46</v>
      </c>
      <c r="D23" t="s">
        <v>60</v>
      </c>
      <c r="E23" t="s">
        <v>0</v>
      </c>
      <c r="F23" s="36">
        <v>159</v>
      </c>
      <c r="G23" s="36">
        <v>48</v>
      </c>
      <c r="H23" s="36">
        <v>207</v>
      </c>
      <c r="I23" s="4">
        <v>5614.3739999999998</v>
      </c>
      <c r="J23" s="4">
        <v>470.1</v>
      </c>
      <c r="K23" s="4">
        <v>6084.4740000000002</v>
      </c>
      <c r="L23" s="36">
        <v>12</v>
      </c>
      <c r="M23" s="36">
        <v>17</v>
      </c>
      <c r="N23" s="36">
        <v>34</v>
      </c>
      <c r="O23" s="36">
        <v>102</v>
      </c>
      <c r="P23" s="36">
        <v>34</v>
      </c>
      <c r="Q23" s="36">
        <v>136</v>
      </c>
      <c r="R23" s="4">
        <v>3599.498</v>
      </c>
      <c r="S23" s="4">
        <v>320.39999999999998</v>
      </c>
      <c r="T23" s="4">
        <v>3919.8980000000001</v>
      </c>
      <c r="U23" s="36">
        <v>11</v>
      </c>
      <c r="V23" s="36">
        <v>12</v>
      </c>
      <c r="W23" s="36">
        <v>24</v>
      </c>
      <c r="X23" s="36">
        <v>102</v>
      </c>
      <c r="Y23" s="36">
        <v>28</v>
      </c>
      <c r="Z23" s="36">
        <v>130</v>
      </c>
      <c r="AA23" s="4">
        <v>3597.0050000000001</v>
      </c>
      <c r="AB23" s="4">
        <v>287.3</v>
      </c>
      <c r="AC23" s="4">
        <v>3884.3050000000003</v>
      </c>
      <c r="AD23" s="36">
        <v>20</v>
      </c>
      <c r="AE23" s="36">
        <v>11</v>
      </c>
      <c r="AF23" s="36">
        <v>21</v>
      </c>
      <c r="AG23" s="36">
        <v>90</v>
      </c>
      <c r="AH23" s="36">
        <v>24</v>
      </c>
      <c r="AI23" s="36">
        <v>114</v>
      </c>
      <c r="AJ23" s="4">
        <v>3182.8649999999998</v>
      </c>
      <c r="AK23" s="4">
        <v>190.4</v>
      </c>
      <c r="AL23" s="4">
        <v>3373.2649999999999</v>
      </c>
      <c r="AM23" s="36">
        <v>20</v>
      </c>
      <c r="AN23" s="36">
        <v>9</v>
      </c>
      <c r="AO23" s="36">
        <v>18</v>
      </c>
    </row>
    <row r="24" spans="1:41" x14ac:dyDescent="0.25">
      <c r="A24" s="25" t="s">
        <v>142</v>
      </c>
      <c r="B24" t="s">
        <v>65</v>
      </c>
      <c r="C24" t="s">
        <v>49</v>
      </c>
      <c r="D24" t="s">
        <v>60</v>
      </c>
      <c r="E24" t="s">
        <v>0</v>
      </c>
      <c r="F24" s="36"/>
      <c r="G24" s="36"/>
      <c r="H24" s="36">
        <v>0</v>
      </c>
      <c r="I24" s="4"/>
      <c r="J24" s="4"/>
      <c r="K24" s="4">
        <v>0</v>
      </c>
      <c r="L24" s="36"/>
      <c r="M24" s="36"/>
      <c r="N24" s="36"/>
      <c r="O24" s="36">
        <v>10</v>
      </c>
      <c r="P24" s="36">
        <v>2</v>
      </c>
      <c r="Q24" s="36">
        <v>12</v>
      </c>
      <c r="R24" s="4">
        <v>222.76599999999999</v>
      </c>
      <c r="S24" s="4">
        <v>65.900000000000006</v>
      </c>
      <c r="T24" s="4">
        <v>288.666</v>
      </c>
      <c r="U24" s="36">
        <v>25</v>
      </c>
      <c r="V24" s="36">
        <v>1</v>
      </c>
      <c r="W24" s="36">
        <v>3</v>
      </c>
      <c r="X24" s="36"/>
      <c r="Y24" s="36"/>
      <c r="Z24" s="36">
        <v>0</v>
      </c>
      <c r="AA24" s="4"/>
      <c r="AB24" s="4"/>
      <c r="AC24" s="4">
        <v>0</v>
      </c>
      <c r="AD24" s="36"/>
      <c r="AE24" s="36"/>
      <c r="AF24" s="36"/>
      <c r="AG24" s="36"/>
      <c r="AH24" s="36"/>
      <c r="AI24" s="36">
        <v>0</v>
      </c>
      <c r="AJ24" s="4"/>
      <c r="AK24" s="4"/>
      <c r="AL24" s="4">
        <v>0</v>
      </c>
      <c r="AM24" s="36"/>
      <c r="AN24" s="36"/>
      <c r="AO24" s="36"/>
    </row>
    <row r="25" spans="1:41" x14ac:dyDescent="0.25">
      <c r="A25" s="25" t="s">
        <v>64</v>
      </c>
      <c r="B25" t="s">
        <v>65</v>
      </c>
      <c r="C25" t="s">
        <v>46</v>
      </c>
      <c r="D25" t="s">
        <v>60</v>
      </c>
      <c r="E25" t="s">
        <v>47</v>
      </c>
      <c r="F25" s="36">
        <v>129</v>
      </c>
      <c r="G25" s="36">
        <v>34</v>
      </c>
      <c r="H25" s="36">
        <v>163</v>
      </c>
      <c r="I25" s="4">
        <v>2206.1379999999999</v>
      </c>
      <c r="J25" s="4">
        <v>707.3</v>
      </c>
      <c r="K25" s="4">
        <v>2913.4380000000001</v>
      </c>
      <c r="L25" s="36">
        <v>15</v>
      </c>
      <c r="M25" s="36">
        <v>15</v>
      </c>
      <c r="N25" s="36">
        <v>27</v>
      </c>
      <c r="O25" s="36">
        <v>130</v>
      </c>
      <c r="P25" s="36">
        <v>38</v>
      </c>
      <c r="Q25" s="36">
        <v>168</v>
      </c>
      <c r="R25" s="4">
        <v>2221.4369999999999</v>
      </c>
      <c r="S25" s="4">
        <v>711.82399999999996</v>
      </c>
      <c r="T25" s="4">
        <v>2933.261</v>
      </c>
      <c r="U25" s="36">
        <v>15</v>
      </c>
      <c r="V25" s="36">
        <v>14</v>
      </c>
      <c r="W25" s="36">
        <v>27</v>
      </c>
      <c r="X25" s="36">
        <v>122</v>
      </c>
      <c r="Y25" s="36">
        <v>30</v>
      </c>
      <c r="Z25" s="36">
        <v>152</v>
      </c>
      <c r="AA25" s="4">
        <v>2087.7420000000002</v>
      </c>
      <c r="AB25" s="4">
        <v>628.86199999999997</v>
      </c>
      <c r="AC25" s="4">
        <v>2716.6040000000003</v>
      </c>
      <c r="AD25" s="36">
        <v>15</v>
      </c>
      <c r="AE25" s="36">
        <v>14</v>
      </c>
      <c r="AF25" s="36">
        <v>26</v>
      </c>
      <c r="AG25" s="36">
        <v>114</v>
      </c>
      <c r="AH25" s="36">
        <v>24</v>
      </c>
      <c r="AI25" s="36">
        <v>138</v>
      </c>
      <c r="AJ25" s="4">
        <v>1955.59</v>
      </c>
      <c r="AK25" s="4">
        <v>595.5</v>
      </c>
      <c r="AL25" s="4">
        <v>2551.09</v>
      </c>
      <c r="AM25" s="36">
        <v>15</v>
      </c>
      <c r="AN25" s="36">
        <v>12</v>
      </c>
      <c r="AO25" s="36">
        <v>21</v>
      </c>
    </row>
    <row r="26" spans="1:41" x14ac:dyDescent="0.25">
      <c r="A26" s="25" t="s">
        <v>66</v>
      </c>
      <c r="B26" t="s">
        <v>67</v>
      </c>
      <c r="C26" t="s">
        <v>46</v>
      </c>
      <c r="D26" t="s">
        <v>60</v>
      </c>
      <c r="E26" t="s">
        <v>0</v>
      </c>
      <c r="F26" s="36">
        <v>21</v>
      </c>
      <c r="G26" s="36">
        <v>10</v>
      </c>
      <c r="H26" s="36">
        <v>31</v>
      </c>
      <c r="I26" s="4">
        <v>969.18200000000002</v>
      </c>
      <c r="J26" s="4">
        <v>28.6</v>
      </c>
      <c r="K26" s="4">
        <v>997.78200000000004</v>
      </c>
      <c r="L26" s="36">
        <v>0</v>
      </c>
      <c r="M26" s="36">
        <v>1</v>
      </c>
      <c r="N26" s="36">
        <v>10</v>
      </c>
      <c r="O26" s="36">
        <v>36</v>
      </c>
      <c r="P26" s="36">
        <v>15</v>
      </c>
      <c r="Q26" s="36">
        <v>51</v>
      </c>
      <c r="R26" s="4">
        <v>1661.454</v>
      </c>
      <c r="S26" s="4">
        <v>55.95</v>
      </c>
      <c r="T26" s="4">
        <v>1717.404</v>
      </c>
      <c r="U26" s="36">
        <v>0</v>
      </c>
      <c r="V26" s="36">
        <v>2</v>
      </c>
      <c r="W26" s="36">
        <v>17</v>
      </c>
      <c r="X26" s="36">
        <v>31</v>
      </c>
      <c r="Y26" s="36">
        <v>5</v>
      </c>
      <c r="Z26" s="36">
        <v>36</v>
      </c>
      <c r="AA26" s="4">
        <v>1430.6969999999999</v>
      </c>
      <c r="AB26" s="4">
        <v>27.35</v>
      </c>
      <c r="AC26" s="4">
        <v>1458.0469999999998</v>
      </c>
      <c r="AD26" s="36">
        <v>0</v>
      </c>
      <c r="AE26" s="36">
        <v>1</v>
      </c>
      <c r="AF26" s="36">
        <v>9</v>
      </c>
      <c r="AG26" s="36">
        <v>30</v>
      </c>
      <c r="AH26" s="36">
        <v>6</v>
      </c>
      <c r="AI26" s="36">
        <v>36</v>
      </c>
      <c r="AJ26" s="4">
        <v>1384.5450000000001</v>
      </c>
      <c r="AK26" s="4">
        <v>53.7</v>
      </c>
      <c r="AL26" s="4">
        <v>1438.2450000000001</v>
      </c>
      <c r="AM26" s="36">
        <v>0</v>
      </c>
      <c r="AN26" s="36">
        <v>2</v>
      </c>
      <c r="AO26" s="36">
        <v>8</v>
      </c>
    </row>
    <row r="27" spans="1:41" x14ac:dyDescent="0.25">
      <c r="A27" s="25" t="s">
        <v>68</v>
      </c>
      <c r="B27" t="s">
        <v>69</v>
      </c>
      <c r="C27" t="s">
        <v>46</v>
      </c>
      <c r="D27" t="s">
        <v>60</v>
      </c>
      <c r="E27" t="s">
        <v>0</v>
      </c>
      <c r="F27" s="36">
        <v>21</v>
      </c>
      <c r="G27" s="36">
        <v>10</v>
      </c>
      <c r="H27" s="36">
        <v>31</v>
      </c>
      <c r="I27" s="4">
        <v>964.36400000000003</v>
      </c>
      <c r="J27" s="4">
        <v>51.7</v>
      </c>
      <c r="K27" s="4">
        <v>1016.0640000000001</v>
      </c>
      <c r="L27" s="36">
        <v>30</v>
      </c>
      <c r="M27" s="36">
        <v>4</v>
      </c>
      <c r="N27" s="36">
        <v>2</v>
      </c>
      <c r="O27" s="36">
        <v>37</v>
      </c>
      <c r="P27" s="36">
        <v>17</v>
      </c>
      <c r="Q27" s="36">
        <v>54</v>
      </c>
      <c r="R27" s="4">
        <v>1699.1179999999999</v>
      </c>
      <c r="S27" s="4">
        <v>118.7</v>
      </c>
      <c r="T27" s="4">
        <v>1817.818</v>
      </c>
      <c r="U27" s="36">
        <v>30</v>
      </c>
      <c r="V27" s="36">
        <v>6</v>
      </c>
      <c r="W27" s="36">
        <v>6</v>
      </c>
      <c r="X27" s="36">
        <v>32</v>
      </c>
      <c r="Y27" s="36">
        <v>7</v>
      </c>
      <c r="Z27" s="36">
        <v>39</v>
      </c>
      <c r="AA27" s="4">
        <v>1469.5070000000001</v>
      </c>
      <c r="AB27" s="4">
        <v>67</v>
      </c>
      <c r="AC27" s="4">
        <v>1536.5070000000001</v>
      </c>
      <c r="AD27" s="36">
        <v>30</v>
      </c>
      <c r="AE27" s="36">
        <v>5</v>
      </c>
      <c r="AF27" s="36">
        <v>6</v>
      </c>
      <c r="AG27" s="36">
        <v>31</v>
      </c>
      <c r="AH27" s="36">
        <v>8</v>
      </c>
      <c r="AI27" s="36">
        <v>39</v>
      </c>
      <c r="AJ27" s="4">
        <v>1423.585</v>
      </c>
      <c r="AK27" s="4">
        <v>93.5</v>
      </c>
      <c r="AL27" s="4">
        <v>1517.085</v>
      </c>
      <c r="AM27" s="36">
        <v>30</v>
      </c>
      <c r="AN27" s="36">
        <v>5</v>
      </c>
      <c r="AO27" s="36">
        <v>5</v>
      </c>
    </row>
    <row r="28" spans="1:41" x14ac:dyDescent="0.25">
      <c r="A28" s="25" t="s">
        <v>137</v>
      </c>
      <c r="B28" t="s">
        <v>138</v>
      </c>
      <c r="C28" t="s">
        <v>46</v>
      </c>
      <c r="D28" t="s">
        <v>60</v>
      </c>
      <c r="E28" t="s">
        <v>0</v>
      </c>
      <c r="F28" s="36">
        <v>18</v>
      </c>
      <c r="G28" s="36">
        <v>4</v>
      </c>
      <c r="H28" s="36">
        <v>22</v>
      </c>
      <c r="I28" s="4">
        <v>919.85400000000004</v>
      </c>
      <c r="J28" s="4">
        <v>54.4</v>
      </c>
      <c r="K28" s="4">
        <v>974.25400000000002</v>
      </c>
      <c r="L28" s="36">
        <v>0</v>
      </c>
      <c r="M28" s="36">
        <v>3</v>
      </c>
      <c r="N28" s="36">
        <v>6</v>
      </c>
      <c r="O28" s="36">
        <v>45</v>
      </c>
      <c r="P28" s="36">
        <v>11</v>
      </c>
      <c r="Q28" s="36">
        <v>56</v>
      </c>
      <c r="R28" s="4">
        <v>2299.6350000000002</v>
      </c>
      <c r="S28" s="4">
        <v>167.6</v>
      </c>
      <c r="T28" s="4">
        <v>2467.2350000000001</v>
      </c>
      <c r="U28" s="36">
        <v>0</v>
      </c>
      <c r="V28" s="36">
        <v>5</v>
      </c>
      <c r="W28" s="36">
        <v>17</v>
      </c>
      <c r="X28" s="36">
        <v>30</v>
      </c>
      <c r="Y28" s="36">
        <v>10</v>
      </c>
      <c r="Z28" s="36">
        <v>40</v>
      </c>
      <c r="AA28" s="4">
        <v>1533.09</v>
      </c>
      <c r="AB28" s="4">
        <v>140</v>
      </c>
      <c r="AC28" s="4">
        <v>1673.09</v>
      </c>
      <c r="AD28" s="36">
        <v>0</v>
      </c>
      <c r="AE28" s="36">
        <v>7</v>
      </c>
      <c r="AF28" s="36">
        <v>12</v>
      </c>
      <c r="AG28" s="36">
        <v>21</v>
      </c>
      <c r="AH28" s="36">
        <v>6</v>
      </c>
      <c r="AI28" s="36">
        <v>27</v>
      </c>
      <c r="AJ28" s="4">
        <v>1073.163</v>
      </c>
      <c r="AK28" s="4">
        <v>85.6</v>
      </c>
      <c r="AL28" s="4">
        <v>1158.7629999999999</v>
      </c>
      <c r="AM28" s="36">
        <v>0</v>
      </c>
      <c r="AN28" s="36">
        <v>4</v>
      </c>
      <c r="AO28" s="36">
        <v>8</v>
      </c>
    </row>
    <row r="29" spans="1:41" x14ac:dyDescent="0.25">
      <c r="A29" s="25" t="s">
        <v>139</v>
      </c>
      <c r="B29" t="s">
        <v>140</v>
      </c>
      <c r="C29" t="s">
        <v>46</v>
      </c>
      <c r="D29" t="s">
        <v>60</v>
      </c>
      <c r="E29" t="s">
        <v>0</v>
      </c>
      <c r="F29" s="36">
        <v>19</v>
      </c>
      <c r="G29" s="36">
        <v>6</v>
      </c>
      <c r="H29" s="36">
        <v>25</v>
      </c>
      <c r="I29" s="4">
        <v>897.18</v>
      </c>
      <c r="J29" s="4">
        <v>90</v>
      </c>
      <c r="K29" s="4">
        <v>987.18</v>
      </c>
      <c r="L29" s="36">
        <v>25</v>
      </c>
      <c r="M29" s="36">
        <v>2</v>
      </c>
      <c r="N29" s="36">
        <v>4</v>
      </c>
      <c r="O29" s="36">
        <v>47</v>
      </c>
      <c r="P29" s="36">
        <v>15</v>
      </c>
      <c r="Q29" s="36">
        <v>62</v>
      </c>
      <c r="R29" s="4">
        <v>2219.34</v>
      </c>
      <c r="S29" s="4">
        <v>237</v>
      </c>
      <c r="T29" s="4">
        <v>2456.34</v>
      </c>
      <c r="U29" s="36">
        <v>20</v>
      </c>
      <c r="V29" s="36">
        <v>7</v>
      </c>
      <c r="W29" s="36">
        <v>8</v>
      </c>
      <c r="X29" s="36">
        <v>31</v>
      </c>
      <c r="Y29" s="36">
        <v>12</v>
      </c>
      <c r="Z29" s="36">
        <v>43</v>
      </c>
      <c r="AA29" s="4">
        <v>1463.82</v>
      </c>
      <c r="AB29" s="4">
        <v>180</v>
      </c>
      <c r="AC29" s="4">
        <v>1643.82</v>
      </c>
      <c r="AD29" s="36">
        <v>20</v>
      </c>
      <c r="AE29" s="36">
        <v>4</v>
      </c>
      <c r="AF29" s="36">
        <v>6</v>
      </c>
      <c r="AG29" s="36">
        <v>21</v>
      </c>
      <c r="AH29" s="36">
        <v>6</v>
      </c>
      <c r="AI29" s="36">
        <v>27</v>
      </c>
      <c r="AJ29" s="4">
        <v>991.62</v>
      </c>
      <c r="AK29" s="4">
        <v>90</v>
      </c>
      <c r="AL29" s="4">
        <v>1081.6199999999999</v>
      </c>
      <c r="AM29" s="36">
        <v>30</v>
      </c>
      <c r="AN29" s="36">
        <v>2</v>
      </c>
      <c r="AO29" s="36">
        <v>4</v>
      </c>
    </row>
    <row r="30" spans="1:41" x14ac:dyDescent="0.25">
      <c r="A30" s="25" t="s">
        <v>120</v>
      </c>
      <c r="B30" t="s">
        <v>121</v>
      </c>
      <c r="C30" t="s">
        <v>46</v>
      </c>
      <c r="D30" t="s">
        <v>60</v>
      </c>
      <c r="E30" t="s">
        <v>47</v>
      </c>
      <c r="F30" s="36">
        <v>67</v>
      </c>
      <c r="G30" s="36">
        <v>10</v>
      </c>
      <c r="H30" s="36">
        <v>77</v>
      </c>
      <c r="I30" s="4">
        <v>1141.4760000000001</v>
      </c>
      <c r="J30" s="4">
        <v>243.7</v>
      </c>
      <c r="K30" s="4">
        <v>1385.1760000000002</v>
      </c>
      <c r="L30" s="36">
        <v>15</v>
      </c>
      <c r="M30" s="36">
        <v>5</v>
      </c>
      <c r="N30" s="36">
        <v>15</v>
      </c>
      <c r="O30" s="36">
        <v>76</v>
      </c>
      <c r="P30" s="36">
        <v>12</v>
      </c>
      <c r="Q30" s="36">
        <v>88</v>
      </c>
      <c r="R30" s="4">
        <v>1294.2929999999999</v>
      </c>
      <c r="S30" s="4">
        <v>294</v>
      </c>
      <c r="T30" s="4">
        <v>1588.2929999999999</v>
      </c>
      <c r="U30" s="36">
        <v>15</v>
      </c>
      <c r="V30" s="36">
        <v>6</v>
      </c>
      <c r="W30" s="36">
        <v>17</v>
      </c>
      <c r="X30" s="36">
        <v>67</v>
      </c>
      <c r="Y30" s="36">
        <v>10</v>
      </c>
      <c r="Z30" s="36">
        <v>77</v>
      </c>
      <c r="AA30" s="4">
        <v>1141.4760000000001</v>
      </c>
      <c r="AB30" s="4">
        <v>243.7</v>
      </c>
      <c r="AC30" s="4">
        <v>1385.1760000000002</v>
      </c>
      <c r="AD30" s="36">
        <v>15</v>
      </c>
      <c r="AE30" s="36">
        <v>5</v>
      </c>
      <c r="AF30" s="36">
        <v>15</v>
      </c>
      <c r="AG30" s="36">
        <v>57</v>
      </c>
      <c r="AH30" s="36">
        <v>10</v>
      </c>
      <c r="AI30" s="36">
        <v>67</v>
      </c>
      <c r="AJ30" s="4">
        <v>971.27099999999996</v>
      </c>
      <c r="AK30" s="4">
        <v>243.7</v>
      </c>
      <c r="AL30" s="4">
        <v>1214.971</v>
      </c>
      <c r="AM30" s="36">
        <v>20</v>
      </c>
      <c r="AN30" s="36">
        <v>5</v>
      </c>
      <c r="AO30" s="36">
        <v>12</v>
      </c>
    </row>
    <row r="31" spans="1:41" x14ac:dyDescent="0.25">
      <c r="A31" s="25" t="s">
        <v>56</v>
      </c>
      <c r="B31" t="s">
        <v>57</v>
      </c>
      <c r="C31" t="s">
        <v>46</v>
      </c>
      <c r="D31" t="s">
        <v>60</v>
      </c>
      <c r="E31" t="s">
        <v>0</v>
      </c>
      <c r="F31" s="36"/>
      <c r="G31" s="36"/>
      <c r="H31" s="36">
        <v>0</v>
      </c>
      <c r="I31" s="4"/>
      <c r="J31" s="4"/>
      <c r="K31" s="4">
        <v>0</v>
      </c>
      <c r="L31" s="36"/>
      <c r="M31" s="36"/>
      <c r="N31" s="36"/>
      <c r="O31" s="36"/>
      <c r="P31" s="36"/>
      <c r="Q31" s="36">
        <v>0</v>
      </c>
      <c r="R31" s="4"/>
      <c r="S31" s="4"/>
      <c r="T31" s="4">
        <v>0</v>
      </c>
      <c r="U31" s="36"/>
      <c r="V31" s="36"/>
      <c r="W31" s="36"/>
      <c r="X31" s="36">
        <v>37</v>
      </c>
      <c r="Y31" s="36">
        <v>16</v>
      </c>
      <c r="Z31" s="36">
        <v>53</v>
      </c>
      <c r="AA31" s="4">
        <v>646.94799999999998</v>
      </c>
      <c r="AB31" s="4">
        <v>314.10000000000002</v>
      </c>
      <c r="AC31" s="4">
        <v>961.048</v>
      </c>
      <c r="AD31" s="36">
        <v>20</v>
      </c>
      <c r="AE31" s="36">
        <v>6</v>
      </c>
      <c r="AF31" s="36">
        <v>10</v>
      </c>
      <c r="AG31" s="36"/>
      <c r="AH31" s="36"/>
      <c r="AI31" s="36">
        <v>0</v>
      </c>
      <c r="AJ31" s="4"/>
      <c r="AK31" s="4"/>
      <c r="AL31" s="4">
        <v>0</v>
      </c>
      <c r="AM31" s="36"/>
      <c r="AN31" s="36"/>
      <c r="AO31" s="36"/>
    </row>
    <row r="32" spans="1:41" x14ac:dyDescent="0.25">
      <c r="A32" s="25" t="s">
        <v>50</v>
      </c>
      <c r="B32" t="s">
        <v>51</v>
      </c>
      <c r="C32" t="s">
        <v>46</v>
      </c>
      <c r="D32" t="s">
        <v>60</v>
      </c>
      <c r="E32" t="s">
        <v>0</v>
      </c>
      <c r="F32" s="36"/>
      <c r="G32" s="36"/>
      <c r="H32" s="36">
        <v>0</v>
      </c>
      <c r="I32" s="4"/>
      <c r="J32" s="4"/>
      <c r="K32" s="4">
        <v>0</v>
      </c>
      <c r="L32" s="36"/>
      <c r="M32" s="36"/>
      <c r="N32" s="36"/>
      <c r="O32" s="36">
        <v>30</v>
      </c>
      <c r="P32" s="36">
        <v>6</v>
      </c>
      <c r="Q32" s="36">
        <v>36</v>
      </c>
      <c r="R32" s="4">
        <v>676.54499999999996</v>
      </c>
      <c r="S32" s="4">
        <v>158.6</v>
      </c>
      <c r="T32" s="4">
        <v>835.14499999999998</v>
      </c>
      <c r="U32" s="36">
        <v>30</v>
      </c>
      <c r="V32" s="36">
        <v>3</v>
      </c>
      <c r="W32" s="36">
        <v>7</v>
      </c>
      <c r="X32" s="36">
        <v>30</v>
      </c>
      <c r="Y32" s="36">
        <v>6</v>
      </c>
      <c r="Z32" s="36">
        <v>36</v>
      </c>
      <c r="AA32" s="4">
        <v>676.54499999999996</v>
      </c>
      <c r="AB32" s="4">
        <v>158.6</v>
      </c>
      <c r="AC32" s="4">
        <v>835.14499999999998</v>
      </c>
      <c r="AD32" s="36">
        <v>35</v>
      </c>
      <c r="AE32" s="36">
        <v>3</v>
      </c>
      <c r="AF32" s="36">
        <v>6</v>
      </c>
      <c r="AG32" s="36"/>
      <c r="AH32" s="36"/>
      <c r="AI32" s="36">
        <v>0</v>
      </c>
      <c r="AJ32" s="4"/>
      <c r="AK32" s="4"/>
      <c r="AL32" s="4">
        <v>0</v>
      </c>
      <c r="AM32" s="36"/>
      <c r="AN32" s="36"/>
      <c r="AO32" s="36"/>
    </row>
    <row r="33" spans="1:41" x14ac:dyDescent="0.25">
      <c r="A33" s="25" t="s">
        <v>52</v>
      </c>
      <c r="B33" t="s">
        <v>53</v>
      </c>
      <c r="C33" t="s">
        <v>46</v>
      </c>
      <c r="D33" t="s">
        <v>60</v>
      </c>
      <c r="E33" t="s">
        <v>0</v>
      </c>
      <c r="F33" s="36">
        <v>86</v>
      </c>
      <c r="G33" s="36">
        <v>20</v>
      </c>
      <c r="H33" s="36">
        <v>106</v>
      </c>
      <c r="I33" s="4">
        <v>2041.6189999999999</v>
      </c>
      <c r="J33" s="4">
        <v>568.75</v>
      </c>
      <c r="K33" s="4">
        <v>2610.3689999999997</v>
      </c>
      <c r="L33" s="36">
        <v>15</v>
      </c>
      <c r="M33" s="36">
        <v>10</v>
      </c>
      <c r="N33" s="36">
        <v>23</v>
      </c>
      <c r="O33" s="36">
        <v>94</v>
      </c>
      <c r="P33" s="36">
        <v>22</v>
      </c>
      <c r="Q33" s="36">
        <v>116</v>
      </c>
      <c r="R33" s="4">
        <v>2231.5369999999998</v>
      </c>
      <c r="S33" s="4">
        <v>624.75</v>
      </c>
      <c r="T33" s="4">
        <v>2856.2869999999998</v>
      </c>
      <c r="U33" s="36">
        <v>15</v>
      </c>
      <c r="V33" s="36">
        <v>11</v>
      </c>
      <c r="W33" s="36">
        <v>22</v>
      </c>
      <c r="X33" s="36">
        <v>78</v>
      </c>
      <c r="Y33" s="36">
        <v>16</v>
      </c>
      <c r="Z33" s="36">
        <v>94</v>
      </c>
      <c r="AA33" s="4">
        <v>1851.7</v>
      </c>
      <c r="AB33" s="4">
        <v>455.5</v>
      </c>
      <c r="AC33" s="4">
        <v>2307.1999999999998</v>
      </c>
      <c r="AD33" s="36">
        <v>20</v>
      </c>
      <c r="AE33" s="36">
        <v>8</v>
      </c>
      <c r="AF33" s="36">
        <v>18</v>
      </c>
      <c r="AG33" s="36">
        <v>78</v>
      </c>
      <c r="AH33" s="36">
        <v>16</v>
      </c>
      <c r="AI33" s="36">
        <v>94</v>
      </c>
      <c r="AJ33" s="4">
        <v>1851.7</v>
      </c>
      <c r="AK33" s="4">
        <v>432.3</v>
      </c>
      <c r="AL33" s="4">
        <v>2284</v>
      </c>
      <c r="AM33" s="36">
        <v>20</v>
      </c>
      <c r="AN33" s="36">
        <v>7</v>
      </c>
      <c r="AO33" s="36">
        <v>19</v>
      </c>
    </row>
    <row r="34" spans="1:41" x14ac:dyDescent="0.25">
      <c r="A34" s="25" t="s">
        <v>122</v>
      </c>
      <c r="B34" t="s">
        <v>123</v>
      </c>
      <c r="C34" t="s">
        <v>46</v>
      </c>
      <c r="D34" t="s">
        <v>60</v>
      </c>
      <c r="E34" t="s">
        <v>63</v>
      </c>
      <c r="F34" s="36">
        <v>27</v>
      </c>
      <c r="G34" s="36">
        <v>6</v>
      </c>
      <c r="H34" s="36">
        <v>33</v>
      </c>
      <c r="I34" s="4">
        <v>533.08799999999997</v>
      </c>
      <c r="J34" s="4">
        <v>140.69999999999999</v>
      </c>
      <c r="K34" s="4">
        <v>673.78800000000001</v>
      </c>
      <c r="L34" s="36">
        <v>30</v>
      </c>
      <c r="M34" s="36">
        <v>3</v>
      </c>
      <c r="N34" s="36">
        <v>5</v>
      </c>
      <c r="O34" s="36">
        <v>27</v>
      </c>
      <c r="P34" s="36">
        <v>6</v>
      </c>
      <c r="Q34" s="36">
        <v>33</v>
      </c>
      <c r="R34" s="4">
        <v>533.08799999999997</v>
      </c>
      <c r="S34" s="4">
        <v>140.69999999999999</v>
      </c>
      <c r="T34" s="4">
        <v>673.78800000000001</v>
      </c>
      <c r="U34" s="36">
        <v>30</v>
      </c>
      <c r="V34" s="36">
        <v>3</v>
      </c>
      <c r="W34" s="36">
        <v>5</v>
      </c>
      <c r="X34" s="36">
        <v>27</v>
      </c>
      <c r="Y34" s="36">
        <v>6</v>
      </c>
      <c r="Z34" s="36">
        <v>33</v>
      </c>
      <c r="AA34" s="4">
        <v>533.08799999999997</v>
      </c>
      <c r="AB34" s="4">
        <v>140.69999999999999</v>
      </c>
      <c r="AC34" s="4">
        <v>673.78800000000001</v>
      </c>
      <c r="AD34" s="36">
        <v>30</v>
      </c>
      <c r="AE34" s="36">
        <v>3</v>
      </c>
      <c r="AF34" s="36">
        <v>5</v>
      </c>
      <c r="AG34" s="36">
        <v>26</v>
      </c>
      <c r="AH34" s="36">
        <v>4</v>
      </c>
      <c r="AI34" s="36">
        <v>30</v>
      </c>
      <c r="AJ34" s="4">
        <v>513.34400000000005</v>
      </c>
      <c r="AK34" s="4">
        <v>93.8</v>
      </c>
      <c r="AL34" s="4">
        <v>607.14400000000001</v>
      </c>
      <c r="AM34" s="36">
        <v>35</v>
      </c>
      <c r="AN34" s="36">
        <v>2</v>
      </c>
      <c r="AO34" s="36">
        <v>4</v>
      </c>
    </row>
    <row r="35" spans="1:41" x14ac:dyDescent="0.25">
      <c r="A35" s="25" t="s">
        <v>124</v>
      </c>
      <c r="B35" t="s">
        <v>125</v>
      </c>
      <c r="C35" t="s">
        <v>46</v>
      </c>
      <c r="D35" t="s">
        <v>60</v>
      </c>
      <c r="E35" t="s">
        <v>0</v>
      </c>
      <c r="F35" s="36">
        <v>22</v>
      </c>
      <c r="G35" s="36">
        <v>4</v>
      </c>
      <c r="H35" s="36">
        <v>26</v>
      </c>
      <c r="I35" s="4">
        <v>447.214</v>
      </c>
      <c r="J35" s="4">
        <v>97.6</v>
      </c>
      <c r="K35" s="4">
        <v>544.81399999999996</v>
      </c>
      <c r="L35" s="36">
        <v>35</v>
      </c>
      <c r="M35" s="36">
        <v>2</v>
      </c>
      <c r="N35" s="36">
        <v>6</v>
      </c>
      <c r="O35" s="36">
        <v>22</v>
      </c>
      <c r="P35" s="36">
        <v>4</v>
      </c>
      <c r="Q35" s="36">
        <v>26</v>
      </c>
      <c r="R35" s="4">
        <v>447.214</v>
      </c>
      <c r="S35" s="4">
        <v>97.6</v>
      </c>
      <c r="T35" s="4">
        <v>544.81399999999996</v>
      </c>
      <c r="U35" s="36">
        <v>30</v>
      </c>
      <c r="V35" s="36">
        <v>2</v>
      </c>
      <c r="W35" s="36">
        <v>6</v>
      </c>
      <c r="X35" s="36">
        <v>9</v>
      </c>
      <c r="Y35" s="36">
        <v>4</v>
      </c>
      <c r="Z35" s="36">
        <v>13</v>
      </c>
      <c r="AA35" s="4">
        <v>182.614</v>
      </c>
      <c r="AB35" s="4">
        <v>50.4</v>
      </c>
      <c r="AC35" s="4">
        <v>233.01400000000001</v>
      </c>
      <c r="AD35" s="36">
        <v>30</v>
      </c>
      <c r="AE35" s="36">
        <v>1</v>
      </c>
      <c r="AF35" s="36">
        <v>2</v>
      </c>
      <c r="AG35" s="36">
        <v>38</v>
      </c>
      <c r="AH35" s="36">
        <v>8</v>
      </c>
      <c r="AI35" s="36">
        <v>46</v>
      </c>
      <c r="AJ35" s="4">
        <v>778.86099999999999</v>
      </c>
      <c r="AK35" s="4">
        <v>196</v>
      </c>
      <c r="AL35" s="4">
        <v>974.86099999999999</v>
      </c>
      <c r="AM35" s="36">
        <v>35</v>
      </c>
      <c r="AN35" s="36">
        <v>4</v>
      </c>
      <c r="AO35" s="36">
        <v>7</v>
      </c>
    </row>
    <row r="36" spans="1:41" x14ac:dyDescent="0.25">
      <c r="A36" s="25" t="s">
        <v>146</v>
      </c>
      <c r="B36" t="s">
        <v>147</v>
      </c>
      <c r="C36" t="s">
        <v>145</v>
      </c>
      <c r="D36" t="s">
        <v>60</v>
      </c>
      <c r="E36" t="s">
        <v>0</v>
      </c>
      <c r="F36" s="36">
        <v>6</v>
      </c>
      <c r="G36" s="36">
        <v>6</v>
      </c>
      <c r="H36" s="36">
        <v>12</v>
      </c>
      <c r="I36" s="4">
        <v>65.400000000000006</v>
      </c>
      <c r="J36" s="4">
        <v>170.7</v>
      </c>
      <c r="K36" s="4">
        <v>236.1</v>
      </c>
      <c r="L36" s="36">
        <v>420</v>
      </c>
      <c r="M36" s="36">
        <v>1</v>
      </c>
      <c r="N36" s="36">
        <v>3</v>
      </c>
      <c r="O36" s="36">
        <v>6</v>
      </c>
      <c r="P36" s="36">
        <v>6</v>
      </c>
      <c r="Q36" s="36">
        <v>12</v>
      </c>
      <c r="R36" s="4">
        <v>65.400000000000006</v>
      </c>
      <c r="S36" s="4">
        <v>170.7</v>
      </c>
      <c r="T36" s="4">
        <v>236.1</v>
      </c>
      <c r="U36" s="36">
        <v>420</v>
      </c>
      <c r="V36" s="36">
        <v>1</v>
      </c>
      <c r="W36" s="36">
        <v>3</v>
      </c>
      <c r="X36" s="36">
        <v>6</v>
      </c>
      <c r="Y36" s="36">
        <v>6</v>
      </c>
      <c r="Z36" s="36">
        <v>12</v>
      </c>
      <c r="AA36" s="4">
        <v>65.400000000000006</v>
      </c>
      <c r="AB36" s="4">
        <v>170.7</v>
      </c>
      <c r="AC36" s="4">
        <v>236.1</v>
      </c>
      <c r="AD36" s="36">
        <v>420</v>
      </c>
      <c r="AE36" s="36">
        <v>1</v>
      </c>
      <c r="AF36" s="36">
        <v>3</v>
      </c>
      <c r="AG36" s="36">
        <v>6</v>
      </c>
      <c r="AH36" s="36">
        <v>6</v>
      </c>
      <c r="AI36" s="36">
        <v>12</v>
      </c>
      <c r="AJ36" s="4">
        <v>65.400000000000006</v>
      </c>
      <c r="AK36" s="4">
        <v>170.7</v>
      </c>
      <c r="AL36" s="4">
        <v>236.1</v>
      </c>
      <c r="AM36" s="36">
        <v>420</v>
      </c>
      <c r="AN36" s="36">
        <v>1</v>
      </c>
      <c r="AO36" s="36">
        <v>3</v>
      </c>
    </row>
    <row r="37" spans="1:41" x14ac:dyDescent="0.25">
      <c r="A37" s="25" t="s">
        <v>79</v>
      </c>
      <c r="B37" t="s">
        <v>113</v>
      </c>
      <c r="C37" t="s">
        <v>54</v>
      </c>
      <c r="D37" t="s">
        <v>60</v>
      </c>
      <c r="E37" t="s">
        <v>0</v>
      </c>
      <c r="F37" s="36"/>
      <c r="G37" s="36"/>
      <c r="H37" s="36">
        <v>0</v>
      </c>
      <c r="I37" s="4"/>
      <c r="J37" s="4"/>
      <c r="K37" s="4">
        <v>0</v>
      </c>
      <c r="L37" s="36"/>
      <c r="M37" s="36"/>
      <c r="N37" s="36"/>
      <c r="O37" s="36">
        <v>14</v>
      </c>
      <c r="P37" s="36">
        <v>4</v>
      </c>
      <c r="Q37" s="36">
        <v>18</v>
      </c>
      <c r="R37" s="4">
        <v>130.70500000000001</v>
      </c>
      <c r="S37" s="4">
        <v>50</v>
      </c>
      <c r="T37" s="4">
        <v>180.70500000000001</v>
      </c>
      <c r="U37" s="36">
        <v>20</v>
      </c>
      <c r="V37" s="36">
        <v>1</v>
      </c>
      <c r="W37" s="36">
        <v>2</v>
      </c>
      <c r="X37" s="36">
        <v>6</v>
      </c>
      <c r="Y37" s="36">
        <v>2</v>
      </c>
      <c r="Z37" s="36">
        <v>8</v>
      </c>
      <c r="AA37" s="4">
        <v>56.017000000000003</v>
      </c>
      <c r="AB37" s="4">
        <v>50</v>
      </c>
      <c r="AC37" s="4">
        <v>106.017</v>
      </c>
      <c r="AD37" s="36">
        <v>25</v>
      </c>
      <c r="AE37" s="36">
        <v>1</v>
      </c>
      <c r="AF37" s="36">
        <v>1</v>
      </c>
      <c r="AG37" s="36"/>
      <c r="AH37" s="36"/>
      <c r="AI37" s="36">
        <v>0</v>
      </c>
      <c r="AJ37" s="4"/>
      <c r="AK37" s="4"/>
      <c r="AL37" s="4">
        <v>0</v>
      </c>
      <c r="AM37" s="36"/>
      <c r="AN37" s="36"/>
      <c r="AO37" s="36"/>
    </row>
    <row r="38" spans="1:41" x14ac:dyDescent="0.25">
      <c r="A38" s="25" t="s">
        <v>82</v>
      </c>
      <c r="B38" t="s">
        <v>83</v>
      </c>
      <c r="C38" t="s">
        <v>54</v>
      </c>
      <c r="D38" t="s">
        <v>60</v>
      </c>
      <c r="E38" t="s">
        <v>0</v>
      </c>
      <c r="F38" s="36">
        <v>32</v>
      </c>
      <c r="G38" s="36">
        <v>5</v>
      </c>
      <c r="H38" s="36">
        <v>37</v>
      </c>
      <c r="I38" s="4">
        <v>867.904</v>
      </c>
      <c r="J38" s="4">
        <v>18.399999999999999</v>
      </c>
      <c r="K38" s="4">
        <v>886.30399999999997</v>
      </c>
      <c r="L38" s="36">
        <v>30</v>
      </c>
      <c r="M38" s="36">
        <v>1</v>
      </c>
      <c r="N38" s="36">
        <v>2</v>
      </c>
      <c r="O38" s="36">
        <v>33</v>
      </c>
      <c r="P38" s="36">
        <v>6</v>
      </c>
      <c r="Q38" s="36">
        <v>39</v>
      </c>
      <c r="R38" s="4">
        <v>895.02599999999995</v>
      </c>
      <c r="S38" s="4">
        <v>63</v>
      </c>
      <c r="T38" s="4">
        <v>958.02599999999995</v>
      </c>
      <c r="U38" s="36">
        <v>30</v>
      </c>
      <c r="V38" s="36">
        <v>1</v>
      </c>
      <c r="W38" s="36">
        <v>3</v>
      </c>
      <c r="X38" s="36">
        <v>31</v>
      </c>
      <c r="Y38" s="36">
        <v>6</v>
      </c>
      <c r="Z38" s="36">
        <v>37</v>
      </c>
      <c r="AA38" s="4">
        <v>840.78200000000004</v>
      </c>
      <c r="AB38" s="4">
        <v>54.6</v>
      </c>
      <c r="AC38" s="4">
        <v>895.38200000000006</v>
      </c>
      <c r="AD38" s="36">
        <v>30</v>
      </c>
      <c r="AE38" s="36">
        <v>3</v>
      </c>
      <c r="AF38" s="36">
        <v>2</v>
      </c>
      <c r="AG38" s="36">
        <v>29</v>
      </c>
      <c r="AH38" s="36">
        <v>4</v>
      </c>
      <c r="AI38" s="36">
        <v>33</v>
      </c>
      <c r="AJ38" s="4">
        <v>786.53800000000001</v>
      </c>
      <c r="AK38" s="4">
        <v>18.5</v>
      </c>
      <c r="AL38" s="4">
        <v>805.03800000000001</v>
      </c>
      <c r="AM38" s="36">
        <v>30</v>
      </c>
      <c r="AN38" s="36">
        <v>2</v>
      </c>
      <c r="AO38" s="36">
        <v>4</v>
      </c>
    </row>
    <row r="39" spans="1:41" x14ac:dyDescent="0.25">
      <c r="A39" s="25" t="s">
        <v>84</v>
      </c>
      <c r="B39" t="s">
        <v>148</v>
      </c>
      <c r="C39" t="s">
        <v>54</v>
      </c>
      <c r="D39" t="s">
        <v>60</v>
      </c>
      <c r="E39" t="s">
        <v>0</v>
      </c>
      <c r="F39" s="36">
        <v>54</v>
      </c>
      <c r="G39" s="36">
        <v>16</v>
      </c>
      <c r="H39" s="36">
        <v>70</v>
      </c>
      <c r="I39" s="4">
        <v>828.04499999999996</v>
      </c>
      <c r="J39" s="4">
        <v>374.6</v>
      </c>
      <c r="K39" s="4">
        <v>1202.645</v>
      </c>
      <c r="L39" s="36">
        <v>15</v>
      </c>
      <c r="M39" s="36">
        <v>7</v>
      </c>
      <c r="N39" s="36">
        <v>13</v>
      </c>
      <c r="O39" s="36">
        <v>55</v>
      </c>
      <c r="P39" s="36">
        <v>16</v>
      </c>
      <c r="Q39" s="36">
        <v>71</v>
      </c>
      <c r="R39" s="4">
        <v>853.14599999999996</v>
      </c>
      <c r="S39" s="4">
        <v>334.4</v>
      </c>
      <c r="T39" s="4">
        <v>1187.5459999999998</v>
      </c>
      <c r="U39" s="36">
        <v>15</v>
      </c>
      <c r="V39" s="36">
        <v>6</v>
      </c>
      <c r="W39" s="36">
        <v>11</v>
      </c>
      <c r="X39" s="36">
        <v>48</v>
      </c>
      <c r="Y39" s="36">
        <v>10</v>
      </c>
      <c r="Z39" s="36">
        <v>58</v>
      </c>
      <c r="AA39" s="4">
        <v>742.93799999999999</v>
      </c>
      <c r="AB39" s="4">
        <v>259.8</v>
      </c>
      <c r="AC39" s="4">
        <v>1002.7380000000001</v>
      </c>
      <c r="AD39" s="36">
        <v>20</v>
      </c>
      <c r="AE39" s="36">
        <v>5</v>
      </c>
      <c r="AF39" s="36">
        <v>10</v>
      </c>
      <c r="AG39" s="36">
        <v>36</v>
      </c>
      <c r="AH39" s="36">
        <v>6</v>
      </c>
      <c r="AI39" s="36">
        <v>42</v>
      </c>
      <c r="AJ39" s="4">
        <v>560.39700000000005</v>
      </c>
      <c r="AK39" s="4">
        <v>155.6</v>
      </c>
      <c r="AL39" s="4">
        <v>715.99700000000007</v>
      </c>
      <c r="AM39" s="36">
        <v>25</v>
      </c>
      <c r="AN39" s="36">
        <v>3</v>
      </c>
      <c r="AO39" s="36">
        <v>6</v>
      </c>
    </row>
    <row r="40" spans="1:41" x14ac:dyDescent="0.25">
      <c r="A40" s="25" t="s">
        <v>85</v>
      </c>
      <c r="B40" t="s">
        <v>86</v>
      </c>
      <c r="C40" t="s">
        <v>54</v>
      </c>
      <c r="D40" t="s">
        <v>60</v>
      </c>
      <c r="E40" t="s">
        <v>63</v>
      </c>
      <c r="F40" s="36">
        <v>79</v>
      </c>
      <c r="G40" s="36">
        <v>19</v>
      </c>
      <c r="H40" s="36">
        <v>98</v>
      </c>
      <c r="I40" s="4">
        <v>1999.877</v>
      </c>
      <c r="J40" s="4">
        <v>231.1</v>
      </c>
      <c r="K40" s="4">
        <v>2230.9769999999999</v>
      </c>
      <c r="L40" s="36">
        <v>20</v>
      </c>
      <c r="M40" s="36">
        <v>9</v>
      </c>
      <c r="N40" s="36">
        <v>9</v>
      </c>
      <c r="O40" s="36">
        <v>73</v>
      </c>
      <c r="P40" s="36">
        <v>14</v>
      </c>
      <c r="Q40" s="36">
        <v>87</v>
      </c>
      <c r="R40" s="4">
        <v>1847.9090000000001</v>
      </c>
      <c r="S40" s="4">
        <v>180.7</v>
      </c>
      <c r="T40" s="4">
        <v>2028.6090000000002</v>
      </c>
      <c r="U40" s="36">
        <v>30</v>
      </c>
      <c r="V40" s="36">
        <v>7</v>
      </c>
      <c r="W40" s="36">
        <v>12</v>
      </c>
      <c r="X40" s="36">
        <v>54</v>
      </c>
      <c r="Y40" s="36">
        <v>14</v>
      </c>
      <c r="Z40" s="36">
        <v>68</v>
      </c>
      <c r="AA40" s="4">
        <v>1369.7819999999999</v>
      </c>
      <c r="AB40" s="4">
        <v>156.1</v>
      </c>
      <c r="AC40" s="4">
        <v>1525.8819999999998</v>
      </c>
      <c r="AD40" s="36">
        <v>35</v>
      </c>
      <c r="AE40" s="36">
        <v>4</v>
      </c>
      <c r="AF40" s="36">
        <v>10</v>
      </c>
      <c r="AG40" s="36">
        <v>36</v>
      </c>
      <c r="AH40" s="36">
        <v>7</v>
      </c>
      <c r="AI40" s="36">
        <v>43</v>
      </c>
      <c r="AJ40" s="4">
        <v>911.80799999999999</v>
      </c>
      <c r="AK40" s="4">
        <v>108.726</v>
      </c>
      <c r="AL40" s="4">
        <v>1020.534</v>
      </c>
      <c r="AM40" s="36">
        <v>55</v>
      </c>
      <c r="AN40" s="36">
        <v>3</v>
      </c>
      <c r="AO40" s="36">
        <v>4</v>
      </c>
    </row>
    <row r="41" spans="1:41" x14ac:dyDescent="0.25">
      <c r="A41" s="25" t="s">
        <v>87</v>
      </c>
      <c r="B41" t="s">
        <v>88</v>
      </c>
      <c r="C41" t="s">
        <v>54</v>
      </c>
      <c r="D41" t="s">
        <v>60</v>
      </c>
      <c r="E41" t="s">
        <v>63</v>
      </c>
      <c r="F41" s="36">
        <v>77</v>
      </c>
      <c r="G41" s="36">
        <v>13</v>
      </c>
      <c r="H41" s="36">
        <v>90</v>
      </c>
      <c r="I41" s="4">
        <v>764.125</v>
      </c>
      <c r="J41" s="4">
        <v>132.4</v>
      </c>
      <c r="K41" s="4">
        <v>896.52499999999998</v>
      </c>
      <c r="L41" s="36">
        <v>10</v>
      </c>
      <c r="M41" s="36">
        <v>3</v>
      </c>
      <c r="N41" s="36">
        <v>16</v>
      </c>
      <c r="O41" s="36">
        <v>79</v>
      </c>
      <c r="P41" s="36">
        <v>14</v>
      </c>
      <c r="Q41" s="36">
        <v>93</v>
      </c>
      <c r="R41" s="4">
        <v>784.10699999999997</v>
      </c>
      <c r="S41" s="4">
        <v>123.9</v>
      </c>
      <c r="T41" s="4">
        <v>908.00699999999995</v>
      </c>
      <c r="U41" s="36">
        <v>10</v>
      </c>
      <c r="V41" s="36">
        <v>4</v>
      </c>
      <c r="W41" s="36">
        <v>13</v>
      </c>
      <c r="X41" s="36">
        <v>61</v>
      </c>
      <c r="Y41" s="36">
        <v>14</v>
      </c>
      <c r="Z41" s="36">
        <v>75</v>
      </c>
      <c r="AA41" s="4">
        <v>604.26900000000001</v>
      </c>
      <c r="AB41" s="4">
        <v>128.80000000000001</v>
      </c>
      <c r="AC41" s="4">
        <v>733.06899999999996</v>
      </c>
      <c r="AD41" s="36">
        <v>15</v>
      </c>
      <c r="AE41" s="36">
        <v>4</v>
      </c>
      <c r="AF41" s="36">
        <v>8</v>
      </c>
      <c r="AG41" s="36">
        <v>42</v>
      </c>
      <c r="AH41" s="36">
        <v>5</v>
      </c>
      <c r="AI41" s="36">
        <v>47</v>
      </c>
      <c r="AJ41" s="4">
        <v>414.44</v>
      </c>
      <c r="AK41" s="4">
        <v>50.996000000000002</v>
      </c>
      <c r="AL41" s="4">
        <v>465.43599999999998</v>
      </c>
      <c r="AM41" s="36">
        <v>20</v>
      </c>
      <c r="AN41" s="36">
        <v>2</v>
      </c>
      <c r="AO41" s="36">
        <v>5</v>
      </c>
    </row>
    <row r="42" spans="1:41" x14ac:dyDescent="0.25">
      <c r="A42" s="25" t="s">
        <v>89</v>
      </c>
      <c r="B42" t="s">
        <v>90</v>
      </c>
      <c r="C42" t="s">
        <v>54</v>
      </c>
      <c r="D42" t="s">
        <v>60</v>
      </c>
      <c r="E42" t="s">
        <v>0</v>
      </c>
      <c r="F42" s="36">
        <v>74</v>
      </c>
      <c r="G42" s="36">
        <v>10</v>
      </c>
      <c r="H42" s="36">
        <v>84</v>
      </c>
      <c r="I42" s="4">
        <v>1935.8620000000001</v>
      </c>
      <c r="J42" s="4">
        <v>91.6</v>
      </c>
      <c r="K42" s="4">
        <v>2027.462</v>
      </c>
      <c r="L42" s="36">
        <v>30</v>
      </c>
      <c r="M42" s="36">
        <v>5</v>
      </c>
      <c r="N42" s="36">
        <v>19</v>
      </c>
      <c r="O42" s="36">
        <v>77</v>
      </c>
      <c r="P42" s="36">
        <v>14</v>
      </c>
      <c r="Q42" s="36">
        <v>91</v>
      </c>
      <c r="R42" s="4">
        <v>2011.4659999999999</v>
      </c>
      <c r="S42" s="4">
        <v>123.49</v>
      </c>
      <c r="T42" s="4">
        <v>2134.9559999999997</v>
      </c>
      <c r="U42" s="36">
        <v>20</v>
      </c>
      <c r="V42" s="36">
        <v>7</v>
      </c>
      <c r="W42" s="36">
        <v>15</v>
      </c>
      <c r="X42" s="36">
        <v>72</v>
      </c>
      <c r="Y42" s="36">
        <v>11</v>
      </c>
      <c r="Z42" s="36">
        <v>83</v>
      </c>
      <c r="AA42" s="4">
        <v>1889.9670000000001</v>
      </c>
      <c r="AB42" s="4">
        <v>124.411</v>
      </c>
      <c r="AC42" s="4">
        <v>2014.3780000000002</v>
      </c>
      <c r="AD42" s="36">
        <v>25</v>
      </c>
      <c r="AE42" s="36">
        <v>5</v>
      </c>
      <c r="AF42" s="36">
        <v>21</v>
      </c>
      <c r="AG42" s="36">
        <v>64</v>
      </c>
      <c r="AH42" s="36">
        <v>10</v>
      </c>
      <c r="AI42" s="36">
        <v>74</v>
      </c>
      <c r="AJ42" s="4">
        <v>1654.0530000000001</v>
      </c>
      <c r="AK42" s="4">
        <v>110.895</v>
      </c>
      <c r="AL42" s="4">
        <v>1764.9480000000001</v>
      </c>
      <c r="AM42" s="36">
        <v>34</v>
      </c>
      <c r="AN42" s="36">
        <v>5</v>
      </c>
      <c r="AO42" s="36">
        <v>12</v>
      </c>
    </row>
    <row r="43" spans="1:41" x14ac:dyDescent="0.25">
      <c r="A43" s="25" t="s">
        <v>91</v>
      </c>
      <c r="B43" t="s">
        <v>126</v>
      </c>
      <c r="C43" t="s">
        <v>54</v>
      </c>
      <c r="D43" t="s">
        <v>60</v>
      </c>
      <c r="E43" t="s">
        <v>76</v>
      </c>
      <c r="F43" s="36">
        <v>187</v>
      </c>
      <c r="G43" s="36">
        <v>21</v>
      </c>
      <c r="H43" s="36">
        <v>208</v>
      </c>
      <c r="I43" s="4">
        <v>927.41</v>
      </c>
      <c r="J43" s="4">
        <v>389.1</v>
      </c>
      <c r="K43" s="4">
        <v>1316.51</v>
      </c>
      <c r="L43" s="36">
        <v>10</v>
      </c>
      <c r="M43" s="36">
        <v>7</v>
      </c>
      <c r="N43" s="36">
        <v>14</v>
      </c>
      <c r="O43" s="36">
        <v>191</v>
      </c>
      <c r="P43" s="36">
        <v>22</v>
      </c>
      <c r="Q43" s="36">
        <v>213</v>
      </c>
      <c r="R43" s="4">
        <v>947.24599999999998</v>
      </c>
      <c r="S43" s="4">
        <v>387.2</v>
      </c>
      <c r="T43" s="4">
        <v>1334.4459999999999</v>
      </c>
      <c r="U43" s="36">
        <v>9</v>
      </c>
      <c r="V43" s="36">
        <v>7</v>
      </c>
      <c r="W43" s="36">
        <v>16</v>
      </c>
      <c r="X43" s="36">
        <v>165</v>
      </c>
      <c r="Y43" s="36">
        <v>18</v>
      </c>
      <c r="Z43" s="36">
        <v>183</v>
      </c>
      <c r="AA43" s="4">
        <v>818.31200000000001</v>
      </c>
      <c r="AB43" s="4">
        <v>373.8</v>
      </c>
      <c r="AC43" s="4">
        <v>1192.1120000000001</v>
      </c>
      <c r="AD43" s="36">
        <v>10</v>
      </c>
      <c r="AE43" s="36">
        <v>6</v>
      </c>
      <c r="AF43" s="36">
        <v>12</v>
      </c>
      <c r="AG43" s="36">
        <v>110</v>
      </c>
      <c r="AH43" s="36">
        <v>9</v>
      </c>
      <c r="AI43" s="36">
        <v>119</v>
      </c>
      <c r="AJ43" s="4">
        <v>545.64400000000001</v>
      </c>
      <c r="AK43" s="4">
        <v>231</v>
      </c>
      <c r="AL43" s="4">
        <v>776.64400000000001</v>
      </c>
      <c r="AM43" s="36">
        <v>15</v>
      </c>
      <c r="AN43" s="36">
        <v>4</v>
      </c>
      <c r="AO43" s="36">
        <v>8</v>
      </c>
    </row>
    <row r="44" spans="1:41" x14ac:dyDescent="0.25">
      <c r="A44" s="25" t="s">
        <v>94</v>
      </c>
      <c r="B44" t="s">
        <v>127</v>
      </c>
      <c r="C44" t="s">
        <v>54</v>
      </c>
      <c r="D44" t="s">
        <v>60</v>
      </c>
      <c r="E44" t="s">
        <v>76</v>
      </c>
      <c r="F44" s="36">
        <v>219</v>
      </c>
      <c r="G44" s="36">
        <v>28</v>
      </c>
      <c r="H44" s="36">
        <v>247</v>
      </c>
      <c r="I44" s="4">
        <v>1202.6099999999999</v>
      </c>
      <c r="J44" s="4">
        <v>489.6</v>
      </c>
      <c r="K44" s="4">
        <v>1692.21</v>
      </c>
      <c r="L44" s="36">
        <v>8</v>
      </c>
      <c r="M44" s="36">
        <v>9</v>
      </c>
      <c r="N44" s="36">
        <v>18</v>
      </c>
      <c r="O44" s="36">
        <v>171</v>
      </c>
      <c r="P44" s="36">
        <v>29</v>
      </c>
      <c r="Q44" s="36">
        <v>200</v>
      </c>
      <c r="R44" s="4">
        <v>938.74300000000005</v>
      </c>
      <c r="S44" s="4">
        <v>482.4</v>
      </c>
      <c r="T44" s="4">
        <v>1421.143</v>
      </c>
      <c r="U44" s="36">
        <v>8</v>
      </c>
      <c r="V44" s="36">
        <v>8</v>
      </c>
      <c r="W44" s="36">
        <v>16</v>
      </c>
      <c r="X44" s="36">
        <v>123</v>
      </c>
      <c r="Y44" s="36">
        <v>13</v>
      </c>
      <c r="Z44" s="36">
        <v>136</v>
      </c>
      <c r="AA44" s="4">
        <v>675.71400000000006</v>
      </c>
      <c r="AB44" s="4">
        <v>254.51</v>
      </c>
      <c r="AC44" s="4">
        <v>930.22400000000005</v>
      </c>
      <c r="AD44" s="36">
        <v>14</v>
      </c>
      <c r="AE44" s="36">
        <v>5</v>
      </c>
      <c r="AF44" s="36">
        <v>9</v>
      </c>
      <c r="AG44" s="36">
        <v>109</v>
      </c>
      <c r="AH44" s="36">
        <v>7</v>
      </c>
      <c r="AI44" s="36">
        <v>116</v>
      </c>
      <c r="AJ44" s="4">
        <v>598.875</v>
      </c>
      <c r="AK44" s="4">
        <v>170.4</v>
      </c>
      <c r="AL44" s="4">
        <v>769.27499999999998</v>
      </c>
      <c r="AM44" s="36">
        <v>20</v>
      </c>
      <c r="AN44" s="36">
        <v>4</v>
      </c>
      <c r="AO44" s="36">
        <v>8</v>
      </c>
    </row>
    <row r="45" spans="1:41" x14ac:dyDescent="0.25">
      <c r="A45" s="25" t="s">
        <v>128</v>
      </c>
      <c r="B45" t="s">
        <v>129</v>
      </c>
      <c r="C45" t="s">
        <v>54</v>
      </c>
      <c r="D45" t="s">
        <v>60</v>
      </c>
      <c r="E45" t="s">
        <v>0</v>
      </c>
      <c r="F45" s="36">
        <v>73</v>
      </c>
      <c r="G45" s="36">
        <v>10</v>
      </c>
      <c r="H45" s="36">
        <v>83</v>
      </c>
      <c r="I45" s="4">
        <v>1312.8710000000001</v>
      </c>
      <c r="J45" s="4">
        <v>179.65</v>
      </c>
      <c r="K45" s="4">
        <v>1492.5210000000002</v>
      </c>
      <c r="L45" s="36">
        <v>30</v>
      </c>
      <c r="M45" s="36">
        <v>5</v>
      </c>
      <c r="N45" s="36">
        <v>13</v>
      </c>
      <c r="O45" s="36">
        <v>76</v>
      </c>
      <c r="P45" s="36">
        <v>10</v>
      </c>
      <c r="Q45" s="36">
        <v>86</v>
      </c>
      <c r="R45" s="4">
        <v>1368</v>
      </c>
      <c r="S45" s="4">
        <v>177.4</v>
      </c>
      <c r="T45" s="4">
        <v>1545.4</v>
      </c>
      <c r="U45" s="36">
        <v>30</v>
      </c>
      <c r="V45" s="36">
        <v>5</v>
      </c>
      <c r="W45" s="36">
        <v>14</v>
      </c>
      <c r="X45" s="36">
        <v>74</v>
      </c>
      <c r="Y45" s="36">
        <v>12</v>
      </c>
      <c r="Z45" s="36">
        <v>86</v>
      </c>
      <c r="AA45" s="4">
        <v>1332</v>
      </c>
      <c r="AB45" s="4">
        <v>212.1</v>
      </c>
      <c r="AC45" s="4">
        <v>1544.1</v>
      </c>
      <c r="AD45" s="36">
        <v>30</v>
      </c>
      <c r="AE45" s="36">
        <v>6</v>
      </c>
      <c r="AF45" s="36">
        <v>14</v>
      </c>
      <c r="AG45" s="36">
        <v>64</v>
      </c>
      <c r="AH45" s="36">
        <v>12</v>
      </c>
      <c r="AI45" s="36">
        <v>76</v>
      </c>
      <c r="AJ45" s="4">
        <v>1152</v>
      </c>
      <c r="AK45" s="4">
        <v>216</v>
      </c>
      <c r="AL45" s="4">
        <v>1368</v>
      </c>
      <c r="AM45" s="36">
        <v>30</v>
      </c>
      <c r="AN45" s="36">
        <v>6</v>
      </c>
      <c r="AO45" s="36">
        <v>11</v>
      </c>
    </row>
    <row r="46" spans="1:41" x14ac:dyDescent="0.25">
      <c r="A46" s="25" t="s">
        <v>130</v>
      </c>
      <c r="B46" t="s">
        <v>131</v>
      </c>
      <c r="C46" t="s">
        <v>54</v>
      </c>
      <c r="D46" t="s">
        <v>60</v>
      </c>
      <c r="E46" t="s">
        <v>63</v>
      </c>
      <c r="F46" s="36">
        <v>74</v>
      </c>
      <c r="G46" s="36">
        <v>6</v>
      </c>
      <c r="H46" s="36">
        <v>80</v>
      </c>
      <c r="I46" s="4">
        <v>761.49699999999996</v>
      </c>
      <c r="J46" s="4">
        <v>97.2</v>
      </c>
      <c r="K46" s="4">
        <v>858.697</v>
      </c>
      <c r="L46" s="36">
        <v>30</v>
      </c>
      <c r="M46" s="36">
        <v>3</v>
      </c>
      <c r="N46" s="36">
        <v>8</v>
      </c>
      <c r="O46" s="36">
        <v>76</v>
      </c>
      <c r="P46" s="36">
        <v>6</v>
      </c>
      <c r="Q46" s="36">
        <v>82</v>
      </c>
      <c r="R46" s="4">
        <v>782.07799999999997</v>
      </c>
      <c r="S46" s="4">
        <v>87.9</v>
      </c>
      <c r="T46" s="4">
        <v>869.97799999999995</v>
      </c>
      <c r="U46" s="36">
        <v>30</v>
      </c>
      <c r="V46" s="36">
        <v>3</v>
      </c>
      <c r="W46" s="36">
        <v>8</v>
      </c>
      <c r="X46" s="36">
        <v>74</v>
      </c>
      <c r="Y46" s="36">
        <v>6</v>
      </c>
      <c r="Z46" s="36">
        <v>80</v>
      </c>
      <c r="AA46" s="4">
        <v>761.49699999999996</v>
      </c>
      <c r="AB46" s="4">
        <v>97.2</v>
      </c>
      <c r="AC46" s="4">
        <v>858.697</v>
      </c>
      <c r="AD46" s="36">
        <v>30</v>
      </c>
      <c r="AE46" s="36">
        <v>3</v>
      </c>
      <c r="AF46" s="36">
        <v>7</v>
      </c>
      <c r="AG46" s="36">
        <v>65</v>
      </c>
      <c r="AH46" s="36">
        <v>6</v>
      </c>
      <c r="AI46" s="36">
        <v>71</v>
      </c>
      <c r="AJ46" s="4">
        <v>668.99900000000002</v>
      </c>
      <c r="AK46" s="4">
        <v>94.4</v>
      </c>
      <c r="AL46" s="4">
        <v>763.399</v>
      </c>
      <c r="AM46" s="36">
        <v>30</v>
      </c>
      <c r="AN46" s="36">
        <v>3</v>
      </c>
      <c r="AO46" s="36">
        <v>6</v>
      </c>
    </row>
    <row r="47" spans="1:41" x14ac:dyDescent="0.25">
      <c r="A47" s="25" t="s">
        <v>95</v>
      </c>
      <c r="B47" t="s">
        <v>96</v>
      </c>
      <c r="C47" t="s">
        <v>54</v>
      </c>
      <c r="D47" t="s">
        <v>60</v>
      </c>
      <c r="E47" t="s">
        <v>0</v>
      </c>
      <c r="F47" s="36">
        <v>30</v>
      </c>
      <c r="G47" s="36">
        <v>6</v>
      </c>
      <c r="H47" s="36">
        <v>36</v>
      </c>
      <c r="I47" s="4">
        <v>500.28899999999999</v>
      </c>
      <c r="J47" s="4">
        <v>66.400000000000006</v>
      </c>
      <c r="K47" s="4">
        <v>566.68899999999996</v>
      </c>
      <c r="L47" s="36">
        <v>30</v>
      </c>
      <c r="M47" s="36">
        <v>3</v>
      </c>
      <c r="N47" s="36">
        <v>1</v>
      </c>
      <c r="O47" s="36">
        <v>31</v>
      </c>
      <c r="P47" s="36">
        <v>5</v>
      </c>
      <c r="Q47" s="36">
        <v>36</v>
      </c>
      <c r="R47" s="4">
        <v>517.12099999999998</v>
      </c>
      <c r="S47" s="4">
        <v>27.4</v>
      </c>
      <c r="T47" s="4">
        <v>544.52099999999996</v>
      </c>
      <c r="U47" s="36">
        <v>25</v>
      </c>
      <c r="V47" s="36">
        <v>2</v>
      </c>
      <c r="W47" s="36">
        <v>5</v>
      </c>
      <c r="X47" s="36">
        <v>31</v>
      </c>
      <c r="Y47" s="36">
        <v>6</v>
      </c>
      <c r="Z47" s="36">
        <v>37</v>
      </c>
      <c r="AA47" s="4">
        <v>512.45299999999997</v>
      </c>
      <c r="AB47" s="4">
        <v>49.7</v>
      </c>
      <c r="AC47" s="4">
        <v>562.15300000000002</v>
      </c>
      <c r="AD47" s="36">
        <v>25</v>
      </c>
      <c r="AE47" s="36">
        <v>2</v>
      </c>
      <c r="AF47" s="36">
        <v>2</v>
      </c>
      <c r="AG47" s="36">
        <v>33</v>
      </c>
      <c r="AH47" s="36">
        <v>3</v>
      </c>
      <c r="AI47" s="36">
        <v>36</v>
      </c>
      <c r="AJ47" s="4">
        <v>550.78499999999997</v>
      </c>
      <c r="AK47" s="4">
        <v>22.6</v>
      </c>
      <c r="AL47" s="4">
        <v>573.38499999999999</v>
      </c>
      <c r="AM47" s="36">
        <v>30</v>
      </c>
      <c r="AN47" s="36">
        <v>1</v>
      </c>
      <c r="AO47" s="36">
        <v>2</v>
      </c>
    </row>
    <row r="48" spans="1:41" x14ac:dyDescent="0.25">
      <c r="A48" s="25" t="s">
        <v>97</v>
      </c>
      <c r="B48" t="s">
        <v>98</v>
      </c>
      <c r="C48" t="s">
        <v>54</v>
      </c>
      <c r="D48" t="s">
        <v>60</v>
      </c>
      <c r="E48" t="s">
        <v>0</v>
      </c>
      <c r="F48" s="36">
        <v>32</v>
      </c>
      <c r="G48" s="36">
        <v>7</v>
      </c>
      <c r="H48" s="36">
        <v>39</v>
      </c>
      <c r="I48" s="4">
        <v>826.19100000000003</v>
      </c>
      <c r="J48" s="4">
        <v>65.8</v>
      </c>
      <c r="K48" s="4">
        <v>891.99099999999999</v>
      </c>
      <c r="L48" s="36">
        <v>30</v>
      </c>
      <c r="M48" s="36">
        <v>2</v>
      </c>
      <c r="N48" s="36">
        <v>8</v>
      </c>
      <c r="O48" s="36">
        <v>33</v>
      </c>
      <c r="P48" s="36">
        <v>5</v>
      </c>
      <c r="Q48" s="36">
        <v>38</v>
      </c>
      <c r="R48" s="4">
        <v>852.23500000000001</v>
      </c>
      <c r="S48" s="4">
        <v>39.799999999999997</v>
      </c>
      <c r="T48" s="4">
        <v>892.03499999999997</v>
      </c>
      <c r="U48" s="36">
        <v>30</v>
      </c>
      <c r="V48" s="36">
        <v>2</v>
      </c>
      <c r="W48" s="36">
        <v>5</v>
      </c>
      <c r="X48" s="36">
        <v>32</v>
      </c>
      <c r="Y48" s="36">
        <v>5</v>
      </c>
      <c r="Z48" s="36">
        <v>37</v>
      </c>
      <c r="AA48" s="4">
        <v>826.19100000000003</v>
      </c>
      <c r="AB48" s="4">
        <v>48.3</v>
      </c>
      <c r="AC48" s="4">
        <v>874.49099999999999</v>
      </c>
      <c r="AD48" s="36">
        <v>28</v>
      </c>
      <c r="AE48" s="36">
        <v>2</v>
      </c>
      <c r="AF48" s="36">
        <v>1</v>
      </c>
      <c r="AG48" s="36">
        <v>33</v>
      </c>
      <c r="AH48" s="36">
        <v>5</v>
      </c>
      <c r="AI48" s="36">
        <v>38</v>
      </c>
      <c r="AJ48" s="4">
        <v>859.452</v>
      </c>
      <c r="AK48" s="4">
        <v>53.6</v>
      </c>
      <c r="AL48" s="4">
        <v>913.05200000000002</v>
      </c>
      <c r="AM48" s="36">
        <v>30</v>
      </c>
      <c r="AN48" s="36">
        <v>3</v>
      </c>
      <c r="AO48" s="36">
        <v>4</v>
      </c>
    </row>
    <row r="49" spans="1:41" x14ac:dyDescent="0.25">
      <c r="A49" s="25" t="s">
        <v>109</v>
      </c>
      <c r="B49" t="s">
        <v>151</v>
      </c>
      <c r="C49" t="s">
        <v>54</v>
      </c>
      <c r="D49" t="s">
        <v>60</v>
      </c>
      <c r="E49" t="s">
        <v>0</v>
      </c>
      <c r="F49" s="36">
        <v>76</v>
      </c>
      <c r="G49" s="36">
        <v>10</v>
      </c>
      <c r="H49" s="36">
        <v>86</v>
      </c>
      <c r="I49" s="4">
        <v>1375.4480000000001</v>
      </c>
      <c r="J49" s="4">
        <v>178</v>
      </c>
      <c r="K49" s="4">
        <v>1553.4480000000001</v>
      </c>
      <c r="L49" s="36">
        <v>30</v>
      </c>
      <c r="M49" s="36">
        <v>5</v>
      </c>
      <c r="N49" s="36">
        <v>12</v>
      </c>
      <c r="O49" s="36">
        <v>86</v>
      </c>
      <c r="P49" s="36">
        <v>16</v>
      </c>
      <c r="Q49" s="36">
        <v>102</v>
      </c>
      <c r="R49" s="4">
        <v>1556.4280000000001</v>
      </c>
      <c r="S49" s="4">
        <v>256</v>
      </c>
      <c r="T49" s="4">
        <v>1812.4280000000001</v>
      </c>
      <c r="U49" s="36">
        <v>20</v>
      </c>
      <c r="V49" s="36">
        <v>6</v>
      </c>
      <c r="W49" s="36">
        <v>15</v>
      </c>
      <c r="X49" s="36">
        <v>84</v>
      </c>
      <c r="Y49" s="36">
        <v>14</v>
      </c>
      <c r="Z49" s="36">
        <v>98</v>
      </c>
      <c r="AA49" s="4">
        <v>1520.232</v>
      </c>
      <c r="AB49" s="4">
        <v>241.6</v>
      </c>
      <c r="AC49" s="4">
        <v>1761.8319999999999</v>
      </c>
      <c r="AD49" s="36">
        <v>20</v>
      </c>
      <c r="AE49" s="36">
        <v>6</v>
      </c>
      <c r="AF49" s="36">
        <v>15</v>
      </c>
      <c r="AG49" s="36">
        <v>66</v>
      </c>
      <c r="AH49" s="36">
        <v>10</v>
      </c>
      <c r="AI49" s="36">
        <v>76</v>
      </c>
      <c r="AJ49" s="4">
        <v>1194.4680000000001</v>
      </c>
      <c r="AK49" s="4">
        <v>178</v>
      </c>
      <c r="AL49" s="4">
        <v>1372.4680000000001</v>
      </c>
      <c r="AM49" s="36">
        <v>30</v>
      </c>
      <c r="AN49" s="36">
        <v>5</v>
      </c>
      <c r="AO49" s="36">
        <v>10</v>
      </c>
    </row>
    <row r="50" spans="1:41" x14ac:dyDescent="0.25">
      <c r="A50" s="25" t="s">
        <v>132</v>
      </c>
      <c r="B50" t="s">
        <v>133</v>
      </c>
      <c r="C50" t="s">
        <v>54</v>
      </c>
      <c r="D50" t="s">
        <v>60</v>
      </c>
      <c r="E50" t="s">
        <v>0</v>
      </c>
      <c r="F50" s="36">
        <v>13</v>
      </c>
      <c r="G50" s="36">
        <v>2</v>
      </c>
      <c r="H50" s="36">
        <v>15</v>
      </c>
      <c r="I50" s="4">
        <v>86.593000000000004</v>
      </c>
      <c r="J50" s="4">
        <v>50</v>
      </c>
      <c r="K50" s="4">
        <v>136.59300000000002</v>
      </c>
      <c r="L50" s="36">
        <v>20</v>
      </c>
      <c r="M50" s="36">
        <v>1</v>
      </c>
      <c r="N50" s="36">
        <v>2</v>
      </c>
      <c r="O50" s="36">
        <v>14</v>
      </c>
      <c r="P50" s="36">
        <v>2</v>
      </c>
      <c r="Q50" s="36">
        <v>16</v>
      </c>
      <c r="R50" s="4">
        <v>93.254000000000005</v>
      </c>
      <c r="S50" s="4">
        <v>50</v>
      </c>
      <c r="T50" s="4">
        <v>143.25400000000002</v>
      </c>
      <c r="U50" s="36">
        <v>20</v>
      </c>
      <c r="V50" s="36">
        <v>1</v>
      </c>
      <c r="W50" s="36">
        <v>2</v>
      </c>
      <c r="X50" s="36">
        <v>13</v>
      </c>
      <c r="Y50" s="36">
        <v>2</v>
      </c>
      <c r="Z50" s="36">
        <v>15</v>
      </c>
      <c r="AA50" s="4">
        <v>86.593000000000004</v>
      </c>
      <c r="AB50" s="4">
        <v>50</v>
      </c>
      <c r="AC50" s="4">
        <v>136.59300000000002</v>
      </c>
      <c r="AD50" s="36">
        <v>17</v>
      </c>
      <c r="AE50" s="36">
        <v>1</v>
      </c>
      <c r="AF50" s="36">
        <v>2</v>
      </c>
      <c r="AG50" s="36">
        <v>13</v>
      </c>
      <c r="AH50" s="36">
        <v>2</v>
      </c>
      <c r="AI50" s="36">
        <v>15</v>
      </c>
      <c r="AJ50" s="4">
        <v>86.593000000000004</v>
      </c>
      <c r="AK50" s="4">
        <v>50</v>
      </c>
      <c r="AL50" s="4">
        <v>136.59300000000002</v>
      </c>
      <c r="AM50" s="36">
        <v>30</v>
      </c>
      <c r="AN50" s="36">
        <v>1</v>
      </c>
      <c r="AO50" s="36">
        <v>2</v>
      </c>
    </row>
    <row r="51" spans="1:41" x14ac:dyDescent="0.25">
      <c r="A51" s="25" t="s">
        <v>99</v>
      </c>
      <c r="B51" t="s">
        <v>100</v>
      </c>
      <c r="C51" t="s">
        <v>54</v>
      </c>
      <c r="D51" t="s">
        <v>60</v>
      </c>
      <c r="E51" t="s">
        <v>63</v>
      </c>
      <c r="F51" s="36">
        <v>19</v>
      </c>
      <c r="G51" s="36">
        <v>4</v>
      </c>
      <c r="H51" s="36">
        <v>23</v>
      </c>
      <c r="I51" s="4">
        <v>259.08199999999999</v>
      </c>
      <c r="J51" s="4">
        <v>106.8</v>
      </c>
      <c r="K51" s="4">
        <v>365.88200000000001</v>
      </c>
      <c r="L51" s="36">
        <v>25</v>
      </c>
      <c r="M51" s="36">
        <v>2</v>
      </c>
      <c r="N51" s="36">
        <v>4</v>
      </c>
      <c r="O51" s="36">
        <v>32</v>
      </c>
      <c r="P51" s="36">
        <v>8</v>
      </c>
      <c r="Q51" s="36">
        <v>40</v>
      </c>
      <c r="R51" s="4">
        <v>437.52</v>
      </c>
      <c r="S51" s="4">
        <v>161</v>
      </c>
      <c r="T51" s="4">
        <v>598.52</v>
      </c>
      <c r="U51" s="36">
        <v>20</v>
      </c>
      <c r="V51" s="36">
        <v>3</v>
      </c>
      <c r="W51" s="36">
        <v>7</v>
      </c>
      <c r="X51" s="36">
        <v>29</v>
      </c>
      <c r="Y51" s="36">
        <v>8</v>
      </c>
      <c r="Z51" s="36">
        <v>37</v>
      </c>
      <c r="AA51" s="4">
        <v>396.34199999999998</v>
      </c>
      <c r="AB51" s="4">
        <v>161</v>
      </c>
      <c r="AC51" s="4">
        <v>557.34199999999998</v>
      </c>
      <c r="AD51" s="36">
        <v>20</v>
      </c>
      <c r="AE51" s="36">
        <v>3</v>
      </c>
      <c r="AF51" s="36">
        <v>6</v>
      </c>
      <c r="AG51" s="36">
        <v>26</v>
      </c>
      <c r="AH51" s="36">
        <v>6</v>
      </c>
      <c r="AI51" s="36">
        <v>32</v>
      </c>
      <c r="AJ51" s="4">
        <v>356.87599999999998</v>
      </c>
      <c r="AK51" s="4">
        <v>157.80000000000001</v>
      </c>
      <c r="AL51" s="4">
        <v>514.67599999999993</v>
      </c>
      <c r="AM51" s="36">
        <v>18</v>
      </c>
      <c r="AN51" s="36">
        <v>3</v>
      </c>
      <c r="AO51" s="36">
        <v>5</v>
      </c>
    </row>
    <row r="52" spans="1:41" x14ac:dyDescent="0.25">
      <c r="A52" s="25" t="s">
        <v>104</v>
      </c>
      <c r="B52" t="s">
        <v>134</v>
      </c>
      <c r="C52" t="s">
        <v>49</v>
      </c>
      <c r="D52" t="s">
        <v>60</v>
      </c>
      <c r="E52" t="s">
        <v>0</v>
      </c>
      <c r="F52" s="36"/>
      <c r="G52" s="36"/>
      <c r="H52" s="36">
        <v>0</v>
      </c>
      <c r="I52" s="4"/>
      <c r="J52" s="4"/>
      <c r="K52" s="4">
        <v>0</v>
      </c>
      <c r="L52" s="36"/>
      <c r="M52" s="36"/>
      <c r="N52" s="36"/>
      <c r="O52" s="36"/>
      <c r="P52" s="36"/>
      <c r="Q52" s="36">
        <v>0</v>
      </c>
      <c r="R52" s="4"/>
      <c r="S52" s="4"/>
      <c r="T52" s="4">
        <v>0</v>
      </c>
      <c r="U52" s="36"/>
      <c r="V52" s="36"/>
      <c r="W52" s="36"/>
      <c r="X52" s="36"/>
      <c r="Y52" s="36"/>
      <c r="Z52" s="36">
        <v>0</v>
      </c>
      <c r="AA52" s="4"/>
      <c r="AB52" s="4"/>
      <c r="AC52" s="4">
        <v>0</v>
      </c>
      <c r="AD52" s="36"/>
      <c r="AE52" s="36"/>
      <c r="AF52" s="36"/>
      <c r="AG52" s="36">
        <v>42</v>
      </c>
      <c r="AH52" s="36">
        <v>10</v>
      </c>
      <c r="AI52" s="36">
        <v>52</v>
      </c>
      <c r="AJ52" s="4">
        <v>1302.5840000000001</v>
      </c>
      <c r="AK52" s="4">
        <v>171.2</v>
      </c>
      <c r="AL52" s="4">
        <v>1473.7840000000001</v>
      </c>
      <c r="AM52" s="36">
        <v>25</v>
      </c>
      <c r="AN52" s="36">
        <v>5</v>
      </c>
      <c r="AO52" s="36">
        <v>10</v>
      </c>
    </row>
    <row r="53" spans="1:41" x14ac:dyDescent="0.25">
      <c r="A53" s="25" t="s">
        <v>105</v>
      </c>
      <c r="B53" t="s">
        <v>152</v>
      </c>
      <c r="C53" t="s">
        <v>49</v>
      </c>
      <c r="D53" t="s">
        <v>60</v>
      </c>
      <c r="E53" t="s">
        <v>76</v>
      </c>
      <c r="F53" s="36">
        <v>56</v>
      </c>
      <c r="G53" s="36">
        <v>16</v>
      </c>
      <c r="H53" s="36">
        <v>72</v>
      </c>
      <c r="I53" s="4">
        <v>1731.191</v>
      </c>
      <c r="J53" s="4">
        <v>276.10000000000002</v>
      </c>
      <c r="K53" s="4">
        <v>2007.2910000000002</v>
      </c>
      <c r="L53" s="36">
        <v>25</v>
      </c>
      <c r="M53" s="36">
        <v>7</v>
      </c>
      <c r="N53" s="36">
        <v>12</v>
      </c>
      <c r="O53" s="36">
        <v>53</v>
      </c>
      <c r="P53" s="36">
        <v>16</v>
      </c>
      <c r="Q53" s="36">
        <v>69</v>
      </c>
      <c r="R53" s="4">
        <v>1639.7329999999999</v>
      </c>
      <c r="S53" s="4">
        <v>214.4</v>
      </c>
      <c r="T53" s="4">
        <v>1854.133</v>
      </c>
      <c r="U53" s="36">
        <v>20</v>
      </c>
      <c r="V53" s="36">
        <v>6</v>
      </c>
      <c r="W53" s="36">
        <v>12</v>
      </c>
      <c r="X53" s="36">
        <v>45</v>
      </c>
      <c r="Y53" s="36">
        <v>8</v>
      </c>
      <c r="Z53" s="36">
        <v>53</v>
      </c>
      <c r="AA53" s="4">
        <v>1394.886</v>
      </c>
      <c r="AB53" s="4">
        <v>136.80000000000001</v>
      </c>
      <c r="AC53" s="4">
        <v>1531.6859999999999</v>
      </c>
      <c r="AD53" s="36">
        <v>25</v>
      </c>
      <c r="AE53" s="36">
        <v>4</v>
      </c>
      <c r="AF53" s="36">
        <v>9</v>
      </c>
      <c r="AG53" s="36">
        <v>46</v>
      </c>
      <c r="AH53" s="36">
        <v>10</v>
      </c>
      <c r="AI53" s="36">
        <v>56</v>
      </c>
      <c r="AJ53" s="4">
        <v>1421.5360000000001</v>
      </c>
      <c r="AK53" s="4">
        <v>146.30000000000001</v>
      </c>
      <c r="AL53" s="4">
        <v>1567.836</v>
      </c>
      <c r="AM53" s="36">
        <v>30</v>
      </c>
      <c r="AN53" s="36">
        <v>5</v>
      </c>
      <c r="AO53" s="36">
        <v>10</v>
      </c>
    </row>
    <row r="54" spans="1:41" x14ac:dyDescent="0.25">
      <c r="A54" s="25" t="s">
        <v>106</v>
      </c>
      <c r="B54" t="s">
        <v>107</v>
      </c>
      <c r="C54" t="s">
        <v>49</v>
      </c>
      <c r="D54" t="s">
        <v>60</v>
      </c>
      <c r="E54" t="s">
        <v>0</v>
      </c>
      <c r="F54" s="36">
        <v>51</v>
      </c>
      <c r="G54" s="36">
        <v>34</v>
      </c>
      <c r="H54" s="36">
        <v>85</v>
      </c>
      <c r="I54" s="4">
        <v>1483.056</v>
      </c>
      <c r="J54" s="4">
        <v>597.4</v>
      </c>
      <c r="K54" s="4">
        <v>2080.4560000000001</v>
      </c>
      <c r="L54" s="36">
        <v>20</v>
      </c>
      <c r="M54" s="36">
        <v>9</v>
      </c>
      <c r="N54" s="36">
        <v>17</v>
      </c>
      <c r="O54" s="36">
        <v>48</v>
      </c>
      <c r="P54" s="36">
        <v>28</v>
      </c>
      <c r="Q54" s="36">
        <v>76</v>
      </c>
      <c r="R54" s="4">
        <v>1396.153</v>
      </c>
      <c r="S54" s="4">
        <v>477.3</v>
      </c>
      <c r="T54" s="4">
        <v>1873.453</v>
      </c>
      <c r="U54" s="36">
        <v>30</v>
      </c>
      <c r="V54" s="36">
        <v>7</v>
      </c>
      <c r="W54" s="36">
        <v>14</v>
      </c>
      <c r="X54" s="36">
        <v>46</v>
      </c>
      <c r="Y54" s="36">
        <v>26</v>
      </c>
      <c r="Z54" s="36">
        <v>72</v>
      </c>
      <c r="AA54" s="4">
        <v>1337.9459999999999</v>
      </c>
      <c r="AB54" s="4">
        <v>444.2</v>
      </c>
      <c r="AC54" s="4">
        <v>1782.146</v>
      </c>
      <c r="AD54" s="36">
        <v>30</v>
      </c>
      <c r="AE54" s="36">
        <v>7</v>
      </c>
      <c r="AF54" s="36">
        <v>13</v>
      </c>
      <c r="AG54" s="36">
        <v>28</v>
      </c>
      <c r="AH54" s="36">
        <v>12</v>
      </c>
      <c r="AI54" s="36">
        <v>40</v>
      </c>
      <c r="AJ54" s="4">
        <v>814.89800000000002</v>
      </c>
      <c r="AK54" s="4">
        <v>286</v>
      </c>
      <c r="AL54" s="4">
        <v>1100.8980000000001</v>
      </c>
      <c r="AM54" s="36">
        <v>30</v>
      </c>
      <c r="AN54" s="36">
        <v>5</v>
      </c>
      <c r="AO54" s="36">
        <v>7</v>
      </c>
    </row>
    <row r="55" spans="1:41" x14ac:dyDescent="0.25">
      <c r="A55" t="s">
        <v>24</v>
      </c>
      <c r="F55" s="36">
        <v>219</v>
      </c>
      <c r="G55" s="36">
        <v>48</v>
      </c>
      <c r="H55" s="36">
        <v>3485</v>
      </c>
      <c r="I55" s="4">
        <v>1463.302880952381</v>
      </c>
      <c r="J55" s="4">
        <v>11487.075999999999</v>
      </c>
      <c r="K55" s="4">
        <v>72945.797000000006</v>
      </c>
      <c r="L55" s="36">
        <v>420</v>
      </c>
      <c r="M55" s="36">
        <v>17</v>
      </c>
      <c r="N55" s="36">
        <v>560</v>
      </c>
      <c r="O55" s="36">
        <v>191</v>
      </c>
      <c r="P55" s="36">
        <v>38</v>
      </c>
      <c r="Q55" s="36">
        <v>3468</v>
      </c>
      <c r="R55" s="4">
        <v>1351.1064782608696</v>
      </c>
      <c r="S55" s="4">
        <v>10653.535999999996</v>
      </c>
      <c r="T55" s="4">
        <v>72804.433999999994</v>
      </c>
      <c r="U55" s="36">
        <v>420</v>
      </c>
      <c r="V55" s="36">
        <v>14</v>
      </c>
      <c r="W55" s="36">
        <v>544</v>
      </c>
      <c r="X55" s="36">
        <v>165</v>
      </c>
      <c r="Y55" s="36">
        <v>30</v>
      </c>
      <c r="Z55" s="36">
        <v>2942</v>
      </c>
      <c r="AA55" s="4">
        <v>1215.7332272727269</v>
      </c>
      <c r="AB55" s="4">
        <v>8804.2830000000031</v>
      </c>
      <c r="AC55" s="4">
        <v>62296.544999999991</v>
      </c>
      <c r="AD55" s="36">
        <v>420</v>
      </c>
      <c r="AE55" s="36">
        <v>14</v>
      </c>
      <c r="AF55" s="36">
        <v>448</v>
      </c>
      <c r="AG55" s="36">
        <v>114</v>
      </c>
      <c r="AH55" s="36">
        <v>24</v>
      </c>
      <c r="AI55" s="36">
        <v>2562</v>
      </c>
      <c r="AJ55" s="4">
        <v>1189.8374285714283</v>
      </c>
      <c r="AK55" s="4">
        <v>7606.0170000000007</v>
      </c>
      <c r="AL55" s="4">
        <v>57579.188999999991</v>
      </c>
      <c r="AM55" s="36">
        <v>420</v>
      </c>
      <c r="AN55" s="36">
        <v>12</v>
      </c>
      <c r="AO55" s="36">
        <v>382</v>
      </c>
    </row>
    <row r="59" spans="1:41" ht="14.25" customHeight="1" x14ac:dyDescent="0.25"/>
  </sheetData>
  <conditionalFormatting pivot="1" sqref="F7:AO55">
    <cfRule type="cellIs" dxfId="242" priority="1" operator="lessThanOrEqual">
      <formula>0</formula>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7E1AE8-879B-4EAA-AD58-0674E82F0C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StartSheet</vt:lpstr>
      <vt:lpstr>RawData</vt:lpstr>
      <vt:lpstr>ServiceIndices</vt:lpstr>
      <vt:lpstr>filePath</vt:lpstr>
    </vt:vector>
  </TitlesOfParts>
  <Company>Roads and Transport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Kishor Mishra</dc:creator>
  <cp:lastModifiedBy>Abubacker Jahir Hussain</cp:lastModifiedBy>
  <dcterms:created xsi:type="dcterms:W3CDTF">2021-06-22T09:35:21Z</dcterms:created>
  <dcterms:modified xsi:type="dcterms:W3CDTF">2026-03-03T07:41:50Z</dcterms:modified>
</cp:coreProperties>
</file>